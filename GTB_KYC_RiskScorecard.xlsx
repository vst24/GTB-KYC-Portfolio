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job hunt new 2026\edit\rbc\"/>
    </mc:Choice>
  </mc:AlternateContent>
  <xr:revisionPtr revIDLastSave="0" documentId="13_ncr:1_{CB3088F2-D703-4856-B541-CDF9D4F24AB8}" xr6:coauthVersionLast="47" xr6:coauthVersionMax="47" xr10:uidLastSave="{00000000-0000-0000-0000-000000000000}"/>
  <bookViews>
    <workbookView xWindow="-120" yWindow="-120" windowWidth="29040" windowHeight="15720" tabRatio="500" firstSheet="2" activeTab="6" xr2:uid="{00000000-000D-0000-FFFF-FFFF00000000}"/>
  </bookViews>
  <sheets>
    <sheet name="📋 Documentation" sheetId="1" r:id="rId1"/>
    <sheet name="📊 FINTRAC Guidelines" sheetId="2" r:id="rId2"/>
    <sheet name="🗃️ Client Dataset" sheetId="3" r:id="rId3"/>
    <sheet name="⚖️ Risk Scorecard" sheetId="4" r:id="rId4"/>
    <sheet name="📈 Scored Results" sheetId="5" r:id="rId5"/>
    <sheet name="🔄 pKYC Schedule" sheetId="6" r:id="rId6"/>
    <sheet name="📉 Dashboard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2" i="4" l="1"/>
  <c r="F82" i="4" s="1"/>
  <c r="D81" i="4"/>
  <c r="F81" i="4" s="1"/>
  <c r="D80" i="4"/>
  <c r="F80" i="4" s="1"/>
  <c r="D79" i="4"/>
  <c r="F79" i="4" s="1"/>
  <c r="D78" i="4"/>
  <c r="F78" i="4" s="1"/>
  <c r="E83" i="4" s="1"/>
  <c r="G83" i="4" s="1"/>
  <c r="D74" i="4"/>
  <c r="F74" i="4" s="1"/>
  <c r="D73" i="4"/>
  <c r="F73" i="4" s="1"/>
  <c r="D72" i="4"/>
  <c r="F72" i="4" s="1"/>
  <c r="D71" i="4"/>
  <c r="F71" i="4" s="1"/>
  <c r="D70" i="4"/>
  <c r="F70" i="4" s="1"/>
  <c r="E75" i="4" s="1"/>
  <c r="G75" i="4" s="1"/>
  <c r="D66" i="4"/>
  <c r="F66" i="4" s="1"/>
  <c r="D65" i="4"/>
  <c r="F65" i="4" s="1"/>
  <c r="D64" i="4"/>
  <c r="F64" i="4" s="1"/>
  <c r="D63" i="4"/>
  <c r="F63" i="4" s="1"/>
  <c r="D62" i="4"/>
  <c r="F62" i="4" s="1"/>
  <c r="E67" i="4" s="1"/>
  <c r="G67" i="4" s="1"/>
  <c r="D58" i="4"/>
  <c r="F58" i="4" s="1"/>
  <c r="D57" i="4"/>
  <c r="F57" i="4" s="1"/>
  <c r="D56" i="4"/>
  <c r="F56" i="4" s="1"/>
  <c r="D55" i="4"/>
  <c r="F55" i="4" s="1"/>
  <c r="D54" i="4"/>
  <c r="F54" i="4" s="1"/>
  <c r="D50" i="4"/>
  <c r="F50" i="4" s="1"/>
  <c r="D49" i="4"/>
  <c r="F49" i="4" s="1"/>
  <c r="D48" i="4"/>
  <c r="F48" i="4" s="1"/>
  <c r="D47" i="4"/>
  <c r="F47" i="4" s="1"/>
  <c r="D46" i="4"/>
  <c r="F46" i="4" s="1"/>
  <c r="E51" i="4" s="1"/>
  <c r="G51" i="4" s="1"/>
  <c r="D42" i="4"/>
  <c r="F42" i="4" s="1"/>
  <c r="D41" i="4"/>
  <c r="F41" i="4" s="1"/>
  <c r="D40" i="4"/>
  <c r="F40" i="4" s="1"/>
  <c r="D39" i="4"/>
  <c r="F39" i="4" s="1"/>
  <c r="D38" i="4"/>
  <c r="F38" i="4" s="1"/>
  <c r="E43" i="4" s="1"/>
  <c r="G43" i="4" s="1"/>
  <c r="D34" i="4"/>
  <c r="F34" i="4" s="1"/>
  <c r="D33" i="4"/>
  <c r="F33" i="4" s="1"/>
  <c r="D32" i="4"/>
  <c r="F32" i="4" s="1"/>
  <c r="D31" i="4"/>
  <c r="F31" i="4" s="1"/>
  <c r="D30" i="4"/>
  <c r="F30" i="4" s="1"/>
  <c r="D26" i="4"/>
  <c r="F26" i="4" s="1"/>
  <c r="D25" i="4"/>
  <c r="F25" i="4" s="1"/>
  <c r="D24" i="4"/>
  <c r="F24" i="4" s="1"/>
  <c r="D23" i="4"/>
  <c r="F23" i="4" s="1"/>
  <c r="D22" i="4"/>
  <c r="F22" i="4" s="1"/>
  <c r="E27" i="4" s="1"/>
  <c r="G27" i="4" s="1"/>
  <c r="D18" i="4"/>
  <c r="F18" i="4" s="1"/>
  <c r="D17" i="4"/>
  <c r="F17" i="4" s="1"/>
  <c r="D16" i="4"/>
  <c r="F16" i="4" s="1"/>
  <c r="D15" i="4"/>
  <c r="F15" i="4" s="1"/>
  <c r="D14" i="4"/>
  <c r="F14" i="4" s="1"/>
  <c r="E19" i="4" s="1"/>
  <c r="G19" i="4" s="1"/>
  <c r="D10" i="4"/>
  <c r="F10" i="4" s="1"/>
  <c r="D9" i="4"/>
  <c r="F9" i="4" s="1"/>
  <c r="D8" i="4"/>
  <c r="F8" i="4" s="1"/>
  <c r="D7" i="4"/>
  <c r="F7" i="4" s="1"/>
  <c r="D6" i="4"/>
  <c r="F6" i="4" s="1"/>
  <c r="E59" i="4" l="1"/>
  <c r="G59" i="4" s="1"/>
  <c r="E35" i="4"/>
  <c r="G35" i="4" s="1"/>
  <c r="E11" i="4"/>
  <c r="G11" i="4" s="1"/>
</calcChain>
</file>

<file path=xl/sharedStrings.xml><?xml version="1.0" encoding="utf-8"?>
<sst xmlns="http://schemas.openxmlformats.org/spreadsheetml/2006/main" count="885" uniqueCount="564">
  <si>
    <t>GTB CORPORATE KYC — CLIENT RISK SCORING MODEL</t>
  </si>
  <si>
    <t>FINTRAC-Aligned Due Diligence Framework  |  Global Transaction Banking  |  Version 1.0 — 2024</t>
  </si>
  <si>
    <t>1.  PROJECT PURPOSE &amp; SCOPE</t>
  </si>
  <si>
    <t>Purpose:</t>
  </si>
  <si>
    <t>This model simulates the Corporate Know Your Customer (KYC) Client Risk Scoring process used by Global Transaction Banking (GTB) Due Diligence teams at major Canadian Schedule I banks, modelled on RBC's GTB DD framework. It is built in alignment with FINTRAC's risk-based approach guidance and the Proceeds of Crime (Money Laundering) and Terrorist Financing Act (PCMLTFA).</t>
  </si>
  <si>
    <t>Scope:</t>
  </si>
  <si>
    <t>Ten fictional corporate clients spanning diverse industries, jurisdictions, and risk profiles are assessed across five weighted risk dimensions. Each client receives a composite risk score and a Low / Medium / High / Unacceptable risk rating, which determines their KYC review frequency, product eligibility, and escalation pathway.</t>
  </si>
  <si>
    <t>Analyst role:</t>
  </si>
  <si>
    <t>The model replicates the workflow of a GTB DD Analyst performing: (a) client onboarding due diligence, (b) periodic KYC refresh, and (c) trigger-based out-of-cycle reviews under a perpetual KYC (pKYC) framework. Disposition decisions map to escalation pathways including VP DD sign-off, High Risk Client Management, and Enhanced Due Diligence (EDD).</t>
  </si>
  <si>
    <t>Regulatory basis:</t>
  </si>
  <si>
    <t>PCMLTFA s.6, s.7, s.9.3(1) | FINTRAC Risk-Based Approach Guidance (2023) | FINTRAC CDD Requirements | OSFI Guideline B-8 | FATF Recommendations 10, 12, 22, 23 | FATF High-Risk &amp; Other Monitored Jurisdictions list (updated quarterly).</t>
  </si>
  <si>
    <t>2.  WORKBOOK STRUCTURE — SHEET GUIDE</t>
  </si>
  <si>
    <t>Sheet Name</t>
  </si>
  <si>
    <t>Purpose</t>
  </si>
  <si>
    <t>📋 Documentation</t>
  </si>
  <si>
    <t>This sheet. Methodology, FINTRAC regulatory basis, scoring logic, definitions, and analyst instructions.</t>
  </si>
  <si>
    <t>📊 FINTRAC Guidelines</t>
  </si>
  <si>
    <t>Reference table of FINTRAC risk indicators by dimension. Cite these in your risk memos.</t>
  </si>
  <si>
    <t>🗃️ Client Dataset</t>
  </si>
  <si>
    <t>Master dataset of 10 fictional corporate clients with full onboarding details, UBOs, countries, and products.</t>
  </si>
  <si>
    <t>⚖️ Risk Scorecard</t>
  </si>
  <si>
    <t>INTERACTIVE TOOL. Select ratings from dropdowns — scores and risk rating auto-calculate via weighted formula.</t>
  </si>
  <si>
    <t>📈 Scored Results</t>
  </si>
  <si>
    <t>All 10 clients scored with composite scores, risk ratings, disposition decisions, and review schedules.</t>
  </si>
  <si>
    <t>🔄 pKYC Schedule</t>
  </si>
  <si>
    <t>Perpetual KYC trigger framework. Review dates, trigger event log, and out-of-cycle review tracker.</t>
  </si>
  <si>
    <t>📉 Dashboard</t>
  </si>
  <si>
    <t>Executive summary charts: risk distribution, disposition breakdown, industry risk heatmap.</t>
  </si>
  <si>
    <t>3.  SCORING METHODOLOGY — FIVE RISK DIMENSIONS</t>
  </si>
  <si>
    <t>Risk Dimension</t>
  </si>
  <si>
    <t>Weight  (FINTRAC Basis)</t>
  </si>
  <si>
    <t>Low — Score 20</t>
  </si>
  <si>
    <t>Medium — Score 55</t>
  </si>
  <si>
    <t>High — Score 85</t>
  </si>
  <si>
    <t>Unacceptable — 100</t>
  </si>
  <si>
    <t>Geographic Risk</t>
  </si>
  <si>
    <t>30%
FINTRAC Risk-Based Approach Guidance s.3.2; FATF High-Risk Jurisdictions list</t>
  </si>
  <si>
    <t>All operations in FATF low-risk countries (Canada, US, UK, EU, Australia)</t>
  </si>
  <si>
    <t>Mix of low-risk and moderate-risk jurisdictions (Mexico, India, Brazil, Malaysia)</t>
  </si>
  <si>
    <t>Operations in FINTRAC-designated higher-risk countries (China, UAE, Nigeria, Vietnam)</t>
  </si>
  <si>
    <t>Operations in FATF black/grey list countries (Iran, North Korea, Myanmar, Russia)</t>
  </si>
  <si>
    <t>Industry / Sector Risk</t>
  </si>
  <si>
    <t>25%
FINTRAC Sector Risk Assessments; FATF TBML Guidance; PCMLTFA Schedule</t>
  </si>
  <si>
    <t>Professional services, retail, healthcare, education — low ML typology exposure</t>
  </si>
  <si>
    <t>Manufacturing, technology, real estate (non-development), hospitality</t>
  </si>
  <si>
    <t>Freight/logistics, import-export, mining, cannabis, precious metals, gaming</t>
  </si>
  <si>
    <t>Money Services Businesses, currency exchanges, virtual asset dealers, arms</t>
  </si>
  <si>
    <t>Product / Channel Risk</t>
  </si>
  <si>
    <t>20%
FINTRAC CDD Guidance — Products &amp; Services Risk; OSFI Guideline B-8 s.4</t>
  </si>
  <si>
    <t>Basic deposit accounts, domestic EFTs, low-value credit facilities</t>
  </si>
  <si>
    <t>International wires (&lt;$500K/month), trade finance — straightforward structures</t>
  </si>
  <si>
    <t>High-volume SWIFT payments (&gt;$500K/mo), correspondent banking, FX, trade finance</t>
  </si>
  <si>
    <t>Nested correspondent banking, private banking for HNWIs, crypto settlement, PEP accounts</t>
  </si>
  <si>
    <t>Ownership / UBO Complexity</t>
  </si>
  <si>
    <t>15%
PCMLTFA s.11.1; FINTRAC Beneficial Ownership Guidance; FATF Recommendation 24</t>
  </si>
  <si>
    <t>Simple ownership — 1-2 Canadian/US UBOs, fully verified, no layers</t>
  </si>
  <si>
    <t>2-4 UBOs across FATF-compliant jurisdictions, standard corporate structure</t>
  </si>
  <si>
    <t>Complex structure — holding companies, foreign UBOs, nominee directors</t>
  </si>
  <si>
    <t>Opaque ownership — shell companies, bearer shares, secrecy jurisdiction layers</t>
  </si>
  <si>
    <t>Adverse Media / Sanctions</t>
  </si>
  <si>
    <t>10%
OSFI Guideline B-8 s.5; UN Security Council Sanctions; OFAC SDN List; FINTRAC STR guidance</t>
  </si>
  <si>
    <t>No adverse media, no sanctions matches, no negative news of concern</t>
  </si>
  <si>
    <t>Minor historical media — resolved regulatory matter or civil dispute</t>
  </si>
  <si>
    <t>Significant adverse media — fraud allegations, tax evasion, regulatory sanctions</t>
  </si>
  <si>
    <t>Confirmed sanctions match (OFAC/UN/OSFI) — immediate escalation and account freeze</t>
  </si>
  <si>
    <t>4.  COMPOSITE SCORE → RISK RATING THRESHOLDS</t>
  </si>
  <si>
    <t>LOW RISK
0 – 39</t>
  </si>
  <si>
    <t>Review cycle: 36 months
Standard CDD. Approve at analyst level. Annual SWIFT monitoring review.
Regulatory basis: PCMLTFA s.6 — standard CDD obligations apply.</t>
  </si>
  <si>
    <t>MEDIUM RISK
40 – 64</t>
  </si>
  <si>
    <t>Review cycle: 24 months
Standard CDD + enhanced product monitoring. Approve at analyst level with VP DD notification.
Regulatory basis: FINTRAC Risk-Based Approach Guidance — elevated risk warrants additional scrutiny.</t>
  </si>
  <si>
    <t>HIGH RISK
65 – 84</t>
  </si>
  <si>
    <t>Review cycle: 12 months
Enhanced Due Diligence (EDD) mandatory. Escalate to VP DD + High Risk Client Management for sign-off.
Regulatory basis: PCMLTFA s.9.3 — PEPs require EDD. FINTRAC Guidance — high risk requires enhanced measures.</t>
  </si>
  <si>
    <t>UNACCEPTABLE
85 – 100</t>
  </si>
  <si>
    <t>Review cycle: N/A — Decline
Do not onboard. Escalate immediately to Chief Compliance Officer. Assess STR obligation under PCMLTFA s.7.
Regulatory basis: PCMLTFA s.7 — reasonable grounds to suspect trigger STR obligation. FINTRAC sanctions guidance.</t>
  </si>
  <si>
    <t>5.  ANALYST INSTRUCTIONS — HOW TO USE THIS WORKBOOK</t>
  </si>
  <si>
    <t>Step 1</t>
  </si>
  <si>
    <t>Open the 🗃️ Client Dataset sheet. Review all 10 client records. Familiarise yourself with each client's industry, countries of operation, UBO structure, products requested, and any flags.</t>
  </si>
  <si>
    <t>Step 2</t>
  </si>
  <si>
    <t>Open the ⚖️ Risk Scorecard sheet. For each client, use the dropdown menus in column C to select Low / Medium / High / Unacceptable for each of the five risk dimensions. The weighted score and composite risk rating calculate automatically.</t>
  </si>
  <si>
    <t>Step 3</t>
  </si>
  <si>
    <t>Review the auto-generated risk rating (color-coded cell). If the rating is HIGH or UNACCEPTABLE, document your escalation rationale in column H. Refer to the 📊 FINTRAC Guidelines sheet to cite the specific indicator that applies.</t>
  </si>
  <si>
    <t>Step 4</t>
  </si>
  <si>
    <t>Open the 📈 Scored Results sheet to see all 10 clients side-by-side. Review composite scores, ratings, and disposition recommendations. This sheet populates automatically from the Risk Scorecard — do not edit it directly.</t>
  </si>
  <si>
    <t>Step 5</t>
  </si>
  <si>
    <t>Open the 🔄 pKYC Schedule sheet. Review the next KYC review date for each client based on their risk rating. Check the trigger event log — any event in Column F requires an out-of-cycle review to be initiated within 30 days (per FINTRAC pKYC guidance).</t>
  </si>
  <si>
    <t>Step 6</t>
  </si>
  <si>
    <t>Review the 📉 Dashboard for an executive summary of the portfolio. This is what you would present to the VP, Due Diligence in a real GTB environment.</t>
  </si>
  <si>
    <t>Source: FINTRAC Risk-Based Approach Guidance (2023) | PCMLTFA (R.S.C., 1991, c. 26) | OSFI Guideline B-8 | FATF Recommendations (2023 Update) | FATF High-Risk Jurisdictions List</t>
  </si>
  <si>
    <t>FINTRAC RISK INDICATORS — REFERENCE TABLE</t>
  </si>
  <si>
    <t>This sheet lists the key FINTRAC-published money laundering and terrorist financing indicators by risk dimension. Cite specific indicator numbers in your risk assessment memos when documenting the basis for a High or Unacceptable risk rating.</t>
  </si>
  <si>
    <t>GEOGRAPHIC RISK INDICATORS</t>
  </si>
  <si>
    <t>Indicator ID</t>
  </si>
  <si>
    <t>FINTRAC Indicator Description</t>
  </si>
  <si>
    <t>Use in Risk Memo</t>
  </si>
  <si>
    <t>GR-01</t>
  </si>
  <si>
    <t>Customer or beneficial owner resides in, or transfers funds to/from, a FATF-identified High-Risk or Non-Cooperative Jurisdiction (currently: Iran, North Korea, Myanmar).</t>
  </si>
  <si>
    <t>Cite as: GR-01 when rating this dimension High or Unacceptable.</t>
  </si>
  <si>
    <t>GR-02</t>
  </si>
  <si>
    <t>Customer operates in a jurisdiction with known deficiencies in AML/ATF laws as identified in FINTRAC's geographic risk assessment or FATF's grey list.</t>
  </si>
  <si>
    <t>Cite as: GR-02 when rating this dimension High or Unacceptable.</t>
  </si>
  <si>
    <t>GR-03</t>
  </si>
  <si>
    <t>Funds transferred to or received from a jurisdiction with a high prevalence of organized crime, drug trafficking, or corruption (e.g., Nigeria, Venezuela, Afghanistan).</t>
  </si>
  <si>
    <t>Cite as: GR-03 when rating this dimension High or Unacceptable.</t>
  </si>
  <si>
    <t>GR-04</t>
  </si>
  <si>
    <t>Customer's business activities involve jurisdictions that are secrecy havens or offshore financial centres with limited beneficial ownership transparency (e.g., Cayman Islands, BVI, Panama).</t>
  </si>
  <si>
    <t>Cite as: GR-04 when rating this dimension High or Unacceptable.</t>
  </si>
  <si>
    <t>GR-05</t>
  </si>
  <si>
    <t>Customer uses correspondent banking relationships through higher-risk jurisdictions as an intermediate step in wire transfers.</t>
  </si>
  <si>
    <t>Cite as: GR-05 when rating this dimension High or Unacceptable.</t>
  </si>
  <si>
    <t>GR-06</t>
  </si>
  <si>
    <t>Inconsistency between customer's declared jurisdiction of operation and actual transaction origination/destination jurisdictions.</t>
  </si>
  <si>
    <t>Cite as: GR-06 when rating this dimension High or Unacceptable.</t>
  </si>
  <si>
    <t>INDUSTRY / SECTOR RISK INDICATORS</t>
  </si>
  <si>
    <t>IS-01</t>
  </si>
  <si>
    <t>Customer operates as a Money Services Business (MSB), currency exchange, or virtual asset service provider — sectors with highest inherent ML risk per FINTRAC Sector Risk Assessment.</t>
  </si>
  <si>
    <t>Cite as: IS-01 when rating this dimension High or Unacceptable.</t>
  </si>
  <si>
    <t>IS-02</t>
  </si>
  <si>
    <t>Customer is involved in trade-based businesses (freight, logistics, import/export) with activity across high-risk jurisdictions — elevated trade-based money laundering (TBML) typology risk per FATF.</t>
  </si>
  <si>
    <t>Cite as: IS-02 when rating this dimension High or Unacceptable.</t>
  </si>
  <si>
    <t>IS-03</t>
  </si>
  <si>
    <t>Customer operates in the cannabis sector (licensed producers, distributors) — elevated cash-intensive risk and regulatory complexity.</t>
  </si>
  <si>
    <t>Cite as: IS-03 when rating this dimension High or Unacceptable.</t>
  </si>
  <si>
    <t>IS-04</t>
  </si>
  <si>
    <t>Customer deals in high-value goods: precious metals, gemstones, art, luxury vehicles — sectors used for value transfer and integration.</t>
  </si>
  <si>
    <t>Cite as: IS-04 when rating this dimension High or Unacceptable.</t>
  </si>
  <si>
    <t>IS-05</t>
  </si>
  <si>
    <t>Customer is a real estate developer, broker, or investor — real estate is the primary ML typology in Canadian FINTRAC STR filings (particularly in Greater Vancouver and Toronto).</t>
  </si>
  <si>
    <t>Cite as: IS-05 when rating this dimension High or Unacceptable.</t>
  </si>
  <si>
    <t>IS-06</t>
  </si>
  <si>
    <t>Customer operates a cash-intensive business (restaurants, car washes, parking lots, vending) — elevated placement-stage ML risk.</t>
  </si>
  <si>
    <t>Cite as: IS-06 when rating this dimension High or Unacceptable.</t>
  </si>
  <si>
    <t>IS-07</t>
  </si>
  <si>
    <t>Customer is a private equity, investment fund, or holding company with complex cross-border investment structures.</t>
  </si>
  <si>
    <t>Cite as: IS-07 when rating this dimension High or Unacceptable.</t>
  </si>
  <si>
    <t>PRODUCT / CHANNEL RISK INDICATORS</t>
  </si>
  <si>
    <t>PC-01</t>
  </si>
  <si>
    <t>Customer requests high-volume international wire transfer services (&gt;$500,000 CAD/month) without a clear, documented business rationale.</t>
  </si>
  <si>
    <t>Cite as: PC-01 when rating this dimension High or Unacceptable.</t>
  </si>
  <si>
    <t>PC-02</t>
  </si>
  <si>
    <t>Customer requests correspondent banking or nested correspondent banking arrangements — significantly elevated ML/TF risk per FATF Recommendation 13.</t>
  </si>
  <si>
    <t>Cite as: PC-02 when rating this dimension High or Unacceptable.</t>
  </si>
  <si>
    <t>PC-03</t>
  </si>
  <si>
    <t>Customer requests foreign exchange (FX) services with multiple currency pairs and high turnover — potential layering mechanism.</t>
  </si>
  <si>
    <t>Cite as: PC-03 when rating this dimension High or Unacceptable.</t>
  </si>
  <si>
    <t>PC-04</t>
  </si>
  <si>
    <t>Customer requests trade finance instruments (letters of credit, documentary collections) for trade with higher-risk jurisdictions — TBML typology.</t>
  </si>
  <si>
    <t>Cite as: PC-04 when rating this dimension High or Unacceptable.</t>
  </si>
  <si>
    <t>PC-05</t>
  </si>
  <si>
    <t>Customer requests private banking services or numbered accounts — reduced transparency and elevated PEP exposure risk.</t>
  </si>
  <si>
    <t>Cite as: PC-05 when rating this dimension High or Unacceptable.</t>
  </si>
  <si>
    <t>PC-06</t>
  </si>
  <si>
    <t>Customer requests services enabling rapid, high-volume fund movement with limited traceability (e.g., bulk cash processing, prepaid cards at scale).</t>
  </si>
  <si>
    <t>Cite as: PC-06 when rating this dimension High or Unacceptable.</t>
  </si>
  <si>
    <t>OWNERSHIP / UBO COMPLEXITY INDICATORS</t>
  </si>
  <si>
    <t>UB-01</t>
  </si>
  <si>
    <t>Customer's beneficial ownership cannot be fully verified — opaque layered ownership structure, nominee shareholders or directors, or refusal to disclose UBOs.</t>
  </si>
  <si>
    <t>Cite as: UB-01 when rating this dimension High or Unacceptable.</t>
  </si>
  <si>
    <t>UB-02</t>
  </si>
  <si>
    <t>One or more UBOs are Politically Exposed Persons (PEPs) or Heads of International Organisations (HIOs) — mandatory Enhanced Due Diligence under PCMLTFA s.9.3(1).</t>
  </si>
  <si>
    <t>Cite as: UB-02 when rating this dimension High or Unacceptable.</t>
  </si>
  <si>
    <t>UB-03</t>
  </si>
  <si>
    <t>UBO resides in or is a national of a higher-risk jurisdiction — geographic risk compounds ownership complexity.</t>
  </si>
  <si>
    <t>Cite as: UB-03 when rating this dimension High or Unacceptable.</t>
  </si>
  <si>
    <t>UB-04</t>
  </si>
  <si>
    <t>Complex corporate structure involving multiple holding companies, trusts, or special purpose vehicles across different jurisdictions — potential deliberate opacity.</t>
  </si>
  <si>
    <t>Cite as: UB-04 when rating this dimension High or Unacceptable.</t>
  </si>
  <si>
    <t>UB-05</t>
  </si>
  <si>
    <t>Beneficial ownership has changed recently or unexpectedly without a clear business rationale — potential ownership transfer to distance a UBO from ML exposure.</t>
  </si>
  <si>
    <t>Cite as: UB-05 when rating this dimension High or Unacceptable.</t>
  </si>
  <si>
    <t>UB-06</t>
  </si>
  <si>
    <t>UBO or director matches against a sanctions list (OFAC SDN, UN Security Council, OSFI Consolidated List) — mandatory immediate escalation and account freeze.</t>
  </si>
  <si>
    <t>Cite as: UB-06 when rating this dimension High or Unacceptable.</t>
  </si>
  <si>
    <t>ADVERSE MEDIA / SANCTIONS INDICATORS</t>
  </si>
  <si>
    <t>AM-01</t>
  </si>
  <si>
    <t>Customer, UBO, or key officer appears in adverse media related to fraud, bribery, corruption, drug trafficking, or organized crime.</t>
  </si>
  <si>
    <t>Cite as: AM-01 when rating this dimension High or Unacceptable.</t>
  </si>
  <si>
    <t>AM-02</t>
  </si>
  <si>
    <t>Customer or associated entity has been subject to regulatory enforcement action (FINTRAC penalty, OSC enforcement, IIROC/CIRO sanction) within the past 5 years.</t>
  </si>
  <si>
    <t>Cite as: AM-02 when rating this dimension High or Unacceptable.</t>
  </si>
  <si>
    <t>AM-03</t>
  </si>
  <si>
    <t>Customer or UBO matches against a sanctions list — OFAC SDN List, UN Security Council Consolidated List, OSFI Consolidated Canadian Sanctions List, or EU/UK sanctions.</t>
  </si>
  <si>
    <t>Cite as: AM-03 when rating this dimension High or Unacceptable.</t>
  </si>
  <si>
    <t>AM-04</t>
  </si>
  <si>
    <t>Customer or UBO appears in leaked data sets associated with offshore financial activity (e.g., Panama Papers, Pandora Papers, FinCEN Files).</t>
  </si>
  <si>
    <t>Cite as: AM-04 when rating this dimension High or Unacceptable.</t>
  </si>
  <si>
    <t>AM-05</t>
  </si>
  <si>
    <t>Negative news identified in FINTRAC's own typology reports or law enforcement agency publications relating to the customer's industry, jurisdiction, or associates.</t>
  </si>
  <si>
    <t>Cite as: AM-05 when rating this dimension High or Unacceptable.</t>
  </si>
  <si>
    <t>CLIENT DATASET — 10 CORPORATE KYC CASES (FINTRAC-ALIGNED SIMULATION)</t>
  </si>
  <si>
    <t>10 fictional corporate clients covering diverse industries, risk profiles, and jurisdictions. Pre-filled for analyst review and scoring in the ⚖️ Risk Scorecard sheet.</t>
  </si>
  <si>
    <t>Client ID</t>
  </si>
  <si>
    <t>Legal Entity Name</t>
  </si>
  <si>
    <t>Entity Type</t>
  </si>
  <si>
    <t>Industry</t>
  </si>
  <si>
    <t>NAICS</t>
  </si>
  <si>
    <t>Incorporated In</t>
  </si>
  <si>
    <t>Countries of Operation</t>
  </si>
  <si>
    <t>UBO 1 — Name</t>
  </si>
  <si>
    <t>UBO 1 %</t>
  </si>
  <si>
    <t>UBO 1 Country</t>
  </si>
  <si>
    <t>UBO 1 PEP?</t>
  </si>
  <si>
    <t>UBO 2 — Name</t>
  </si>
  <si>
    <t>UBO 2 %</t>
  </si>
  <si>
    <t>UBO 2 Country</t>
  </si>
  <si>
    <t>UBO 2 PEP?</t>
  </si>
  <si>
    <t>Products Requested</t>
  </si>
  <si>
    <t>Est. Monthly Volume</t>
  </si>
  <si>
    <t>Relationship Type</t>
  </si>
  <si>
    <t>KYC Docs Status</t>
  </si>
  <si>
    <t>Sanctions Screening</t>
  </si>
  <si>
    <t>Adverse Media</t>
  </si>
  <si>
    <t>Analyst Flag</t>
  </si>
  <si>
    <t>Expected Risk Rating</t>
  </si>
  <si>
    <t>GTB-001</t>
  </si>
  <si>
    <t>MAPLE LEAF PROFESSIONAL SERVICES INC.</t>
  </si>
  <si>
    <t>Private Corporation</t>
  </si>
  <si>
    <t>Professional Services / Accounting</t>
  </si>
  <si>
    <t>541211</t>
  </si>
  <si>
    <t>Ontario, Canada</t>
  </si>
  <si>
    <t>Canada, United States</t>
  </si>
  <si>
    <t>MORRISON, JAMES R.</t>
  </si>
  <si>
    <t>60%</t>
  </si>
  <si>
    <t>Canada</t>
  </si>
  <si>
    <t>No</t>
  </si>
  <si>
    <t>MORRISON, SARAH L.</t>
  </si>
  <si>
    <t>40%</t>
  </si>
  <si>
    <t>Corporate chequing, domestic EFT, credit facility ($500K)</t>
  </si>
  <si>
    <t>$180,000</t>
  </si>
  <si>
    <t>New Onboarding</t>
  </si>
  <si>
    <t>Yes — all received</t>
  </si>
  <si>
    <t>No match</t>
  </si>
  <si>
    <t>None</t>
  </si>
  <si>
    <t>None — clean file</t>
  </si>
  <si>
    <t>LOW RISK</t>
  </si>
  <si>
    <t>GTB-002</t>
  </si>
  <si>
    <t>PACIFIC RIM LOGISTICS CORP.</t>
  </si>
  <si>
    <t>Freight Transportation / Logistics</t>
  </si>
  <si>
    <t>484110</t>
  </si>
  <si>
    <t>British Columbia, Canada</t>
  </si>
  <si>
    <t>Canada, China, Vietnam, Philippines</t>
  </si>
  <si>
    <t>CHEN, WEI MING</t>
  </si>
  <si>
    <t>51%</t>
  </si>
  <si>
    <t>Canada (PR — HK national)</t>
  </si>
  <si>
    <t>REYES, MARIA C.</t>
  </si>
  <si>
    <t>49%</t>
  </si>
  <si>
    <t>Philippines</t>
  </si>
  <si>
    <t>SWIFT wire payments, trade finance, FX</t>
  </si>
  <si>
    <t>$3,200,000</t>
  </si>
  <si>
    <t>Partial — ID for UBO 2 outstanding</t>
  </si>
  <si>
    <t>TBML risk — freight + high-risk geo. Docs incomplete.</t>
  </si>
  <si>
    <t>MEDIUM RISK</t>
  </si>
  <si>
    <t>GTB-003</t>
  </si>
  <si>
    <t>GOLDEN BRIDGE CAPITAL PARTNERS LP</t>
  </si>
  <si>
    <t>Limited Partnership</t>
  </si>
  <si>
    <t>Private Equity / Investment Fund</t>
  </si>
  <si>
    <t>523910</t>
  </si>
  <si>
    <t>Canada, Nigeria, UAE</t>
  </si>
  <si>
    <t>ADEYEMI, OLUWASEUN K.</t>
  </si>
  <si>
    <t>55%</t>
  </si>
  <si>
    <t>Nigeria</t>
  </si>
  <si>
    <t>YES — Former Nigerian Minister of Finance</t>
  </si>
  <si>
    <t>AL-RASHID, TARIQ M.</t>
  </si>
  <si>
    <t>45%</t>
  </si>
  <si>
    <t>UAE</t>
  </si>
  <si>
    <t>Trade finance, FX, international wire payments</t>
  </si>
  <si>
    <t>$8,500,000</t>
  </si>
  <si>
    <t>Partial — Source of wealth for UBO 1 outstanding</t>
  </si>
  <si>
    <t>No match (OFAC/UN verified)</t>
  </si>
  <si>
    <t>Minor — 2019 media re: Nigerian government contract inquiry (unresolved)</t>
  </si>
  <si>
    <t>MANDATORY EDD — confirmed PEFP. Escalate to VP DD + HRCM. PCMLTFA s.9.3(1).</t>
  </si>
  <si>
    <t>HIGH RISK</t>
  </si>
  <si>
    <t>GTB-004</t>
  </si>
  <si>
    <t>NORTHERN STAR CANNABIS CORP.</t>
  </si>
  <si>
    <t>Public Company (TSX-listed)</t>
  </si>
  <si>
    <t>Cannabis — Licensed Producer</t>
  </si>
  <si>
    <t>111998</t>
  </si>
  <si>
    <t>Alberta, Canada</t>
  </si>
  <si>
    <t>Canada, Germany, Australia</t>
  </si>
  <si>
    <t>Publicly traded — major shareholders on file</t>
  </si>
  <si>
    <t>&gt;10% threshold</t>
  </si>
  <si>
    <t>Canada / USA</t>
  </si>
  <si>
    <t>THORNTON ASSET MGMT (institutional)</t>
  </si>
  <si>
    <t>18%</t>
  </si>
  <si>
    <t>USA</t>
  </si>
  <si>
    <t>Business chequing, international EFT, trade finance</t>
  </si>
  <si>
    <t>$2,100,000</t>
  </si>
  <si>
    <t>KYC Refresh — Periodic (24 mo)</t>
  </si>
  <si>
    <t>Yes — updated 2024</t>
  </si>
  <si>
    <t>2022 Health Canada compliance notice — resolved</t>
  </si>
  <si>
    <t>Cash-intensive sector. Monitor for unexplained cash deposits. Germany ops require export licence verification.</t>
  </si>
  <si>
    <t>GTB-005</t>
  </si>
  <si>
    <t>MERIDIAN GLOBAL TRADING LTD.</t>
  </si>
  <si>
    <t>Import / Export — Mixed Commodities</t>
  </si>
  <si>
    <t>425120</t>
  </si>
  <si>
    <t>Panama (Canadian operations)</t>
  </si>
  <si>
    <t>Canada, Panama, UAE, China, Colombia</t>
  </si>
  <si>
    <t>UNDISCLOSED — nominee director on file</t>
  </si>
  <si>
    <t>Unknown</t>
  </si>
  <si>
    <t>Panama</t>
  </si>
  <si>
    <t>Cannot verify</t>
  </si>
  <si>
    <t>Cannot determine — shell layer identified</t>
  </si>
  <si>
    <t>British Virgin Islands</t>
  </si>
  <si>
    <t>High-volume SWIFT, trade finance, FX</t>
  </si>
  <si>
    <t>$12,000,000 (claimed)</t>
  </si>
  <si>
    <t>NO — beneficial ownership cannot be verified</t>
  </si>
  <si>
    <t>Potential match — BVI entity under review</t>
  </si>
  <si>
    <t>Adverse — subject to FINTRAC STR by prior institution (intelligence only)</t>
  </si>
  <si>
    <t>DECLINE — opaque ownership, sanctions potential match, prior STR intelligence. Assess own STR obligation. Escalate to CCO.</t>
  </si>
  <si>
    <t>UNACCEPTABLE</t>
  </si>
  <si>
    <t>GTB-006</t>
  </si>
  <si>
    <t>GREAT LAKES MANUFACTURING INC.</t>
  </si>
  <si>
    <t>Industrial Manufacturing — Auto Parts</t>
  </si>
  <si>
    <t>336350</t>
  </si>
  <si>
    <t>Canada, USA, Mexico</t>
  </si>
  <si>
    <t>KOWALSKI, PIOTR A.</t>
  </si>
  <si>
    <t>100%</t>
  </si>
  <si>
    <t>N/A — sole owner</t>
  </si>
  <si>
    <t>N/A</t>
  </si>
  <si>
    <t>Business chequing, CAD/USD FX, domestic and cross-border EFT</t>
  </si>
  <si>
    <t>$950,000</t>
  </si>
  <si>
    <t>KYC Refresh — Remediation (file deficient)</t>
  </si>
  <si>
    <t>Partial — audited financials for 2023 outstanding</t>
  </si>
  <si>
    <t>Remediation — missing 2023 financials. File cannot close until received. Low overall risk.</t>
  </si>
  <si>
    <t>GTB-007</t>
  </si>
  <si>
    <t>HORIZON WEALTH MANAGEMENT LP</t>
  </si>
  <si>
    <t>Wealth Management / Investment Advisory</t>
  </si>
  <si>
    <t>523930</t>
  </si>
  <si>
    <t>Canada, Cayman Islands, Luxembourg</t>
  </si>
  <si>
    <t>VANDERMEER, HENDRIK C.</t>
  </si>
  <si>
    <t>CAYMAN TRUST SERVICES LTD. (trust entity)</t>
  </si>
  <si>
    <t>Cayman Islands</t>
  </si>
  <si>
    <t>Beneficial owners of trust undisclosed</t>
  </si>
  <si>
    <t>Private banking, high-value FX, international wire, trade finance</t>
  </si>
  <si>
    <t>$5,500,000</t>
  </si>
  <si>
    <t>Partial — trust beneficiary disclosure required</t>
  </si>
  <si>
    <t>Cayman trust structure — beneficial owners unknown. EDD required to identify ultimate natural persons. High product risk.</t>
  </si>
  <si>
    <t>GTB-008</t>
  </si>
  <si>
    <t>BOREALIS HEALTHCARE SOLUTIONS INC.</t>
  </si>
  <si>
    <t>Healthcare Technology / SaaS</t>
  </si>
  <si>
    <t>541512</t>
  </si>
  <si>
    <t>Canada, United Kingdom, Australia</t>
  </si>
  <si>
    <t>OKAFOR, CHIDINMA N.</t>
  </si>
  <si>
    <t>SINGH, ARJUN P.</t>
  </si>
  <si>
    <t>Business chequing, international EFT (USD/GBP/AUD), credit facility</t>
  </si>
  <si>
    <t>$420,000</t>
  </si>
  <si>
    <t>Yes — all complete</t>
  </si>
  <si>
    <t>Clean file. FATF-compliant jurisdictions. Low complexity. Standard CDD sufficient.</t>
  </si>
  <si>
    <t>GTB-009</t>
  </si>
  <si>
    <t>ATLAS PRECIOUS METALS CORP.</t>
  </si>
  <si>
    <t>Precious Metals Dealing / Mining Services</t>
  </si>
  <si>
    <t>212221</t>
  </si>
  <si>
    <t>Canada, South Africa, Tanzania, Switzerland</t>
  </si>
  <si>
    <t>BEAUMONT, FRANCOIS J.</t>
  </si>
  <si>
    <t>70%</t>
  </si>
  <si>
    <t>ATLAS HOLDINGS SA (Swiss holding co.)</t>
  </si>
  <si>
    <t>30%</t>
  </si>
  <si>
    <t>Switzerland</t>
  </si>
  <si>
    <t>No — UBOs of Swiss entity verified</t>
  </si>
  <si>
    <t>High-value FX (CHF, USD, ZAR), SWIFT payments, trade finance</t>
  </si>
  <si>
    <t>$6,800,000</t>
  </si>
  <si>
    <t>Yes — including Swiss beneficial ownership declaration</t>
  </si>
  <si>
    <t>Precious metals = high ML integration risk. Tanzania operations require enhanced geographic review. Monitor for large FX transactions.</t>
  </si>
  <si>
    <t>GTB-010</t>
  </si>
  <si>
    <t>NOVA EXCHANGE SERVICES INC.</t>
  </si>
  <si>
    <t>Private Corporation — Registered MSB</t>
  </si>
  <si>
    <t>Money Services Business — Currency Exchange</t>
  </si>
  <si>
    <t>522390</t>
  </si>
  <si>
    <t>Quebec, Canada</t>
  </si>
  <si>
    <t>Canada, USA, Mexico, Haiti</t>
  </si>
  <si>
    <t>LAFLEUR, MARIE-CLAIRE B.</t>
  </si>
  <si>
    <t>MORALES, VICTOR E.</t>
  </si>
  <si>
    <t>Mexico</t>
  </si>
  <si>
    <t>SWIFT payments, bulk FX (CAD/USD/MXN/HTG), correspondent banking</t>
  </si>
  <si>
    <t>$22,000,000 (MSB — remittance volume)</t>
  </si>
  <si>
    <t>Yes — FINTRAC MSB registration verified</t>
  </si>
  <si>
    <t>2021 FINTRAC administrative monetary penalty — $275,000 (record-keeping violations)</t>
  </si>
  <si>
    <t>MSB = highest inherent ML risk sector. Prior FINTRAC penalty. Haiti is a FATF-monitored jurisdiction. Mandatory EDD. Escalate.</t>
  </si>
  <si>
    <t>CLIENT RISK SCORECARD — INTERACTIVE TOOL</t>
  </si>
  <si>
    <t>SELECT ratings from the dropdowns below. Composite scores and Risk Ratings auto-calculate. Blue text = your input. Black text = formula. Refer to 📊 FINTRAC Guidelines for indicator references.</t>
  </si>
  <si>
    <t>Your Rating
(Select from dropdown)</t>
  </si>
  <si>
    <t>Raw Score
(Auto)</t>
  </si>
  <si>
    <t>Weight
(FINTRAC)</t>
  </si>
  <si>
    <t>Weighted
Score</t>
  </si>
  <si>
    <t>FINTRAC
Indicator Ref.</t>
  </si>
  <si>
    <t>Analyst Notes
(Optional)</t>
  </si>
  <si>
    <t xml:space="preserve">  CLIENT 1 — GTB-001 | MAPLE LEAF PROFESSIONAL SERVICES</t>
  </si>
  <si>
    <t>Low</t>
  </si>
  <si>
    <t>GR-01, GR-02, GR-03</t>
  </si>
  <si>
    <t>IS-01, IS-02, IS-05</t>
  </si>
  <si>
    <t>PC-01, PC-02, PC-04</t>
  </si>
  <si>
    <t>UB-01, UB-02, UB-04</t>
  </si>
  <si>
    <t>AM-01, AM-03, AM-04</t>
  </si>
  <si>
    <t>COMPOSITE SCORE</t>
  </si>
  <si>
    <t xml:space="preserve">  CLIENT 2 — GTB-002 | PACIFIC RIM LOGISTICS CORP.</t>
  </si>
  <si>
    <t>High</t>
  </si>
  <si>
    <t>Medium</t>
  </si>
  <si>
    <t xml:space="preserve">  CLIENT 3 — GTB-003 | GOLDEN BRIDGE CAPITAL PARTNERS LP</t>
  </si>
  <si>
    <t xml:space="preserve">  CLIENT 4 — GTB-004 | NORTHERN STAR CANNABIS CORP.</t>
  </si>
  <si>
    <t xml:space="preserve">  CLIENT 5 — GTB-005 | MERIDIAN GLOBAL TRADING LTD.</t>
  </si>
  <si>
    <t xml:space="preserve">  CLIENT 6 — GTB-006 | GREAT LAKES MANUFACTURING INC.</t>
  </si>
  <si>
    <t xml:space="preserve">  CLIENT 7 — GTB-007 | HORIZON WEALTH MANAGEMENT LP</t>
  </si>
  <si>
    <t xml:space="preserve">  CLIENT 8 — GTB-008 | BOREALIS HEALTHCARE SOLUTIONS INC.</t>
  </si>
  <si>
    <t xml:space="preserve">  CLIENT 9 — GTB-009 | ATLAS PRECIOUS METALS CORP.</t>
  </si>
  <si>
    <t xml:space="preserve">  CLIENT 10 — GTB-010 | NOVA EXCHANGE SERVICES INC.</t>
  </si>
  <si>
    <t>SCORED RESULTS — ALL 10 CLIENTS | RISK RATING SUMMARY</t>
  </si>
  <si>
    <t>Composite scores and risk ratings below are driven by formulas linked to the ⚖️ Risk Scorecard. Do not edit this sheet directly. Disposition and review cycle are auto-assigned based on rating thresholds.</t>
  </si>
  <si>
    <t>#</t>
  </si>
  <si>
    <t>Client ID &amp; Name</t>
  </si>
  <si>
    <t>Composite
Score</t>
  </si>
  <si>
    <t>Risk Rating</t>
  </si>
  <si>
    <t>Disposition Decision</t>
  </si>
  <si>
    <t>KYC Review Cycle</t>
  </si>
  <si>
    <t>Escalation Path</t>
  </si>
  <si>
    <t>FINTRAC / Regulatory Basis</t>
  </si>
  <si>
    <t>1</t>
  </si>
  <si>
    <t>GTB-001 | MAPLE LEAF PROFESSIONAL SERVICES</t>
  </si>
  <si>
    <t>20.0</t>
  </si>
  <si>
    <t>Approve — proceed to onboarding</t>
  </si>
  <si>
    <t>36 months</t>
  </si>
  <si>
    <t>Analyst-level approval — no escalation required</t>
  </si>
  <si>
    <t>PCMLTFA s.6 — standard CDD. FINTRAC Risk-Based Approach Guidance.</t>
  </si>
  <si>
    <t>2</t>
  </si>
  <si>
    <t>GTB-002 | PACIFIC RIM LOGISTICS CORP.</t>
  </si>
  <si>
    <t>62.5</t>
  </si>
  <si>
    <t>Approve — enhanced monitoring required. Collect outstanding UBO ID within 14 days.</t>
  </si>
  <si>
    <t>24 months</t>
  </si>
  <si>
    <t>VP DD notification — no sign-off required unless docs remain outstanding &gt;30 days</t>
  </si>
  <si>
    <t>FINTRAC Guidance — elevated geographic + sector risk. IS-02 (TBML). GR-03. PC-01.</t>
  </si>
  <si>
    <t>3</t>
  </si>
  <si>
    <t>GTB-003 | GOLDEN BRIDGE CAPITAL PARTNERS LP</t>
  </si>
  <si>
    <t>81.5</t>
  </si>
  <si>
    <t>HOLD — EDD in progress. Do not onboard until VP DD + HRCM sign-off obtained.</t>
  </si>
  <si>
    <t>12 months</t>
  </si>
  <si>
    <t>Escalate: VP DD + High Risk Client Management. PEFP mandatory EDD.</t>
  </si>
  <si>
    <t>PCMLTFA s.9.3(1) — PEP mandatory EDD. UB-02. GR-03. AM-01. FATF Rec. 12.</t>
  </si>
  <si>
    <t>4</t>
  </si>
  <si>
    <t>GTB-004 | NORTHERN STAR CANNABIS CORP.</t>
  </si>
  <si>
    <t>44.0</t>
  </si>
  <si>
    <t>Approve — periodic refresh. Monitor cash deposits. Verify German export licence.</t>
  </si>
  <si>
    <t>VP DD notification on file</t>
  </si>
  <si>
    <t>IS-03 (cannabis sector). FINTRAC Sector Risk Assessment.</t>
  </si>
  <si>
    <t>5</t>
  </si>
  <si>
    <t>GTB-005 | MERIDIAN GLOBAL TRADING LTD.</t>
  </si>
  <si>
    <t>96.5</t>
  </si>
  <si>
    <t>DECLINE — do not onboard. Assess STR obligation with Compliance. Escalate to CCO.</t>
  </si>
  <si>
    <t>Immediate: CCO + AML Compliance + Legal. Potential STR to FINTRAC.</t>
  </si>
  <si>
    <t>PCMLTFA s.7 — reasonable grounds to suspect. UB-01. AM-03 (potential sanctions). GR-01.</t>
  </si>
  <si>
    <t>6</t>
  </si>
  <si>
    <t>GTB-006 | GREAT LAKES MANUFACTURING INC.</t>
  </si>
  <si>
    <t>26.25</t>
  </si>
  <si>
    <t>Approve — pending receipt of 2023 audited financials. Set 14-day collection deadline.</t>
  </si>
  <si>
    <t>Analyst-level approval once docs complete</t>
  </si>
  <si>
    <t>PCMLTFA s.6 — standard CDD. File remediation.</t>
  </si>
  <si>
    <t>7</t>
  </si>
  <si>
    <t>GTB-007 | HORIZON WEALTH MANAGEMENT LP</t>
  </si>
  <si>
    <t>72.75</t>
  </si>
  <si>
    <t>HOLD — EDD required. Cayman trust beneficial ownership must be fully identified.</t>
  </si>
  <si>
    <t>Escalate: VP DD + High Risk Client Management</t>
  </si>
  <si>
    <t>UB-04 (complex structure). PC-02 (private banking). FATF Rec. 24 (beneficial ownership).</t>
  </si>
  <si>
    <t>8</t>
  </si>
  <si>
    <t>GTB-008 | BOREALIS HEALTHCARE SOLUTIONS INC.</t>
  </si>
  <si>
    <t>Approve — proceed to onboarding. All docs complete. Clean file.</t>
  </si>
  <si>
    <t>Analyst-level approval</t>
  </si>
  <si>
    <t>PCMLTFA s.6 — standard CDD. FATF-compliant jurisdictions.</t>
  </si>
  <si>
    <t>9</t>
  </si>
  <si>
    <t>GTB-009 | ATLAS PRECIOUS METALS CORP.</t>
  </si>
  <si>
    <t>68.25</t>
  </si>
  <si>
    <t>HOLD — EDD required. Tanzania geographic review and precious metals sector EDD.</t>
  </si>
  <si>
    <t>Escalate: VP DD. Enhanced product monitoring for FX transactions.</t>
  </si>
  <si>
    <t>IS-04 (precious metals). GR-03 (Tanzania). PC-01 (high-volume FX). FINTRAC Sector Risk.</t>
  </si>
  <si>
    <t>10</t>
  </si>
  <si>
    <t>GTB-010 | NOVA EXCHANGE SERVICES INC.</t>
  </si>
  <si>
    <t>79.5</t>
  </si>
  <si>
    <t>DECLINE — MSB with prior FINTRAC penalty and Haiti exposure. Assess STR obligation.</t>
  </si>
  <si>
    <t>Immediate: VP DD + CCO + AML Compliance</t>
  </si>
  <si>
    <t>IS-01 (MSB — highest inherent risk). AM-02 (prior FINTRAC penalty). GR-02 (Haiti). PCMLTFA s.7.</t>
  </si>
  <si>
    <t>PERPETUAL KYC (pKYC) — REVIEW SCHEDULE &amp; TRIGGER EVENT LOG</t>
  </si>
  <si>
    <t>pKYC replaces calendar-based review with event-triggered review. Any trigger event in column H requires an out-of-cycle review within 30 days regardless of scheduled review date (FINTRAC Risk-Based Approach Guidance — pKYC principles). Scheduled reviews are based on risk rating at time of last review.</t>
  </si>
  <si>
    <t>Client Name</t>
  </si>
  <si>
    <t>Risk
Rating</t>
  </si>
  <si>
    <t>Onboarding
Date</t>
  </si>
  <si>
    <t>Last Review
Date</t>
  </si>
  <si>
    <t>Next Scheduled
Review</t>
  </si>
  <si>
    <t>Days Until
Review</t>
  </si>
  <si>
    <t>Trigger Events
(pKYC)</t>
  </si>
  <si>
    <t>Out-of-Cycle
Review Status</t>
  </si>
  <si>
    <t>Responsible
Analyst</t>
  </si>
  <si>
    <t>LOW</t>
  </si>
  <si>
    <t>2024-01-15</t>
  </si>
  <si>
    <t>2027-01-15</t>
  </si>
  <si>
    <t>None identified</t>
  </si>
  <si>
    <t>On schedule</t>
  </si>
  <si>
    <t>MEDIUM</t>
  </si>
  <si>
    <t>2024-02-01</t>
  </si>
  <si>
    <t>2026-02-01</t>
  </si>
  <si>
    <t>DIRECTOR CHANGE — CFO departed March 2024. New CFO unverified.</t>
  </si>
  <si>
    <t>OUT-OF-CYCLE REQUIRED — 30 days</t>
  </si>
  <si>
    <t>HIGH</t>
  </si>
  <si>
    <t>2024-02-20</t>
  </si>
  <si>
    <t>2025-02-20</t>
  </si>
  <si>
    <t>EDD IN PROGRESS — awaiting source of wealth for UBO 1.</t>
  </si>
  <si>
    <t>EDD review active — HRCM lead</t>
  </si>
  <si>
    <t>2022-05-10</t>
  </si>
  <si>
    <t>2024-05-10</t>
  </si>
  <si>
    <t>2026-05-10</t>
  </si>
  <si>
    <t>NEW COUNTRY — Germany operations added Oct 2024. Export licence required.</t>
  </si>
  <si>
    <t>N/A — DECLINED</t>
  </si>
  <si>
    <t>DECLINED — STR assessment in progress with Compliance.</t>
  </si>
  <si>
    <t>N/A — declined file</t>
  </si>
  <si>
    <t>2021-09-01</t>
  </si>
  <si>
    <t>2024-09-01</t>
  </si>
  <si>
    <t>2027-09-01</t>
  </si>
  <si>
    <t>DOCS OUTSTANDING — 2023 audited financials not received.</t>
  </si>
  <si>
    <t>Doc collection in progress — 14-day deadline</t>
  </si>
  <si>
    <t>2024-03-05</t>
  </si>
  <si>
    <t>2025-03-05</t>
  </si>
  <si>
    <t>EDD IN PROGRESS — Cayman trust UBO disclosure pending.</t>
  </si>
  <si>
    <t>EDD review active — VP DD lead</t>
  </si>
  <si>
    <t>2024-01-22</t>
  </si>
  <si>
    <t>2027-01-22</t>
  </si>
  <si>
    <t>2024-03-15</t>
  </si>
  <si>
    <t>2025-03-15</t>
  </si>
  <si>
    <t>VOLUME SPIKE — Oct 2024 FX volume exceeded declared estimate by 180%. Review required.</t>
  </si>
  <si>
    <t>DECLINED — Prior FINTRAC penalty. STR assessment with Compliance.</t>
  </si>
  <si>
    <t>GTB DUE DILIGENCE — PORTFOLIO RISK DASHBOARD</t>
  </si>
  <si>
    <t>As of 2026-03-28  |  Portfolio: 10 Corporate Clients  |  Analyst Portfolio View</t>
  </si>
  <si>
    <t>Total Clients</t>
  </si>
  <si>
    <t>Low Risk</t>
  </si>
  <si>
    <t>Medium Risk</t>
  </si>
  <si>
    <t>High Risk</t>
  </si>
  <si>
    <t>Unacceptable</t>
  </si>
  <si>
    <t>EDD Active</t>
  </si>
  <si>
    <t>STR Assess.</t>
  </si>
  <si>
    <t>PORTFOLIO SUMMARY — RISK RATING BREAKDOWN</t>
  </si>
  <si>
    <t># Clients</t>
  </si>
  <si>
    <t>% of Portfolio</t>
  </si>
  <si>
    <t>Review Cycle</t>
  </si>
  <si>
    <t>Disposition</t>
  </si>
  <si>
    <t>PCMLTFA Basis</t>
  </si>
  <si>
    <t>Approve — analyst level</t>
  </si>
  <si>
    <t>No escalation</t>
  </si>
  <si>
    <t>PCMLTFA s.6</t>
  </si>
  <si>
    <t>20%</t>
  </si>
  <si>
    <t>Approve + enhanced monitoring</t>
  </si>
  <si>
    <t>VP DD notification</t>
  </si>
  <si>
    <t>FINTRAC RBA Guidance</t>
  </si>
  <si>
    <t>HOLD — EDD required</t>
  </si>
  <si>
    <t>VP DD + HRCM sign-off</t>
  </si>
  <si>
    <t>PCMLTFA s.9.3(1)</t>
  </si>
  <si>
    <t>N/A — Decline</t>
  </si>
  <si>
    <t>DECLINE + STR assess.</t>
  </si>
  <si>
    <t>CCO + AML Compliance</t>
  </si>
  <si>
    <t>PCMLTFA s.7</t>
  </si>
  <si>
    <t>COMPLIANCE ACTION SUMMARY</t>
  </si>
  <si>
    <t>Approved — Standard CDD</t>
  </si>
  <si>
    <t>3 clients (GTB-001, GTB-006*, GTB-008)</t>
  </si>
  <si>
    <t>Approved — Enhanced Monitoring</t>
  </si>
  <si>
    <t>2 clients (GTB-002, GTB-004)</t>
  </si>
  <si>
    <t>HOLD — EDD in Progress</t>
  </si>
  <si>
    <t>3 clients (GTB-003, GTB-007, GTB-009)</t>
  </si>
  <si>
    <t>DECLINED — STR Assessment</t>
  </si>
  <si>
    <t>2 clients (GTB-005, GTB-010)</t>
  </si>
  <si>
    <t>Count</t>
  </si>
  <si>
    <t>GTB-001* = approved conditionally pending 2023 financials  |  All scores calculated per FINTRAC Risk-Based Approach Guidance (2023)  |  Model Version 1.0 — For portfolio and interview demonstration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</si>
</sst>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DEEAF1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1F3864"/>
      <name val="Arial"/>
      <charset val="1"/>
    </font>
    <font>
      <sz val="8"/>
      <color rgb="FF000000"/>
      <name val="Arial"/>
      <charset val="1"/>
    </font>
    <font>
      <b/>
      <sz val="9"/>
      <color rgb="FF1E5631"/>
      <name val="Arial"/>
      <charset val="1"/>
    </font>
    <font>
      <sz val="9"/>
      <name val="Arial"/>
      <charset val="1"/>
    </font>
    <font>
      <b/>
      <sz val="9"/>
      <color rgb="FF7F5300"/>
      <name val="Arial"/>
      <charset val="1"/>
    </font>
    <font>
      <b/>
      <sz val="9"/>
      <color rgb="FFC00000"/>
      <name val="Arial"/>
      <charset val="1"/>
    </font>
    <font>
      <i/>
      <sz val="7"/>
      <color rgb="FF595959"/>
      <name val="Arial"/>
      <charset val="1"/>
    </font>
    <font>
      <b/>
      <sz val="13"/>
      <color rgb="FFFFFFFF"/>
      <name val="Arial"/>
      <charset val="1"/>
    </font>
    <font>
      <i/>
      <sz val="9"/>
      <color rgb="FF1F3864"/>
      <name val="Arial"/>
      <charset val="1"/>
    </font>
    <font>
      <sz val="8"/>
      <name val="Arial"/>
      <charset val="1"/>
    </font>
    <font>
      <i/>
      <sz val="8"/>
      <color rgb="FF595959"/>
      <name val="Arial"/>
      <charset val="1"/>
    </font>
    <font>
      <b/>
      <sz val="11"/>
      <color rgb="FFFFFFFF"/>
      <name val="Arial"/>
      <charset val="1"/>
    </font>
    <font>
      <b/>
      <sz val="8"/>
      <color rgb="FF1E5631"/>
      <name val="Arial"/>
      <charset val="1"/>
    </font>
    <font>
      <sz val="8"/>
      <color rgb="FF7F5300"/>
      <name val="Arial"/>
      <charset val="1"/>
    </font>
    <font>
      <b/>
      <sz val="8"/>
      <color rgb="FF7F5300"/>
      <name val="Arial"/>
      <charset val="1"/>
    </font>
    <font>
      <b/>
      <sz val="8"/>
      <color rgb="FFC00000"/>
      <name val="Arial"/>
      <charset val="1"/>
    </font>
    <font>
      <b/>
      <sz val="12"/>
      <color rgb="FFFFFFFF"/>
      <name val="Arial"/>
      <charset val="1"/>
    </font>
    <font>
      <b/>
      <sz val="9"/>
      <color rgb="FF0000FF"/>
      <name val="Arial"/>
      <charset val="1"/>
    </font>
    <font>
      <b/>
      <sz val="9"/>
      <color rgb="FF3C1D6E"/>
      <name val="Arial"/>
      <charset val="1"/>
    </font>
    <font>
      <sz val="8"/>
      <color rgb="FF1E5631"/>
      <name val="Arial"/>
      <charset val="1"/>
    </font>
    <font>
      <sz val="8"/>
      <color rgb="FFFFFFFF"/>
      <name val="Arial"/>
      <charset val="1"/>
    </font>
    <font>
      <b/>
      <sz val="22"/>
      <color rgb="FFFFFFFF"/>
      <name val="Arial"/>
      <charset val="1"/>
    </font>
    <font>
      <sz val="8"/>
      <color rgb="FFC00000"/>
      <name val="Arial"/>
      <charset val="1"/>
    </font>
    <font>
      <sz val="9"/>
      <color rgb="FF1E5631"/>
      <name val="Arial"/>
      <charset val="1"/>
    </font>
    <font>
      <sz val="9"/>
      <color rgb="FF7F5300"/>
      <name val="Arial"/>
      <charset val="1"/>
    </font>
    <font>
      <sz val="9"/>
      <color rgb="FFC00000"/>
      <name val="Arial"/>
      <charset val="1"/>
    </font>
    <font>
      <sz val="9"/>
      <color rgb="FFFFFFFF"/>
      <name val="Arial"/>
      <charset val="1"/>
    </font>
    <font>
      <b/>
      <sz val="8"/>
      <name val="Arial"/>
      <charset val="1"/>
    </font>
    <font>
      <b/>
      <sz val="7"/>
      <color rgb="FF595959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004B5A"/>
      </patternFill>
    </fill>
    <fill>
      <patternFill patternType="solid">
        <fgColor rgb="FF2E4D91"/>
        <bgColor rgb="FF1F3864"/>
      </patternFill>
    </fill>
    <fill>
      <patternFill patternType="solid">
        <fgColor rgb="FFBF9000"/>
        <bgColor rgb="FF808000"/>
      </patternFill>
    </fill>
    <fill>
      <patternFill patternType="solid">
        <fgColor rgb="FFF2F2F2"/>
        <bgColor rgb="FFEEF4FB"/>
      </patternFill>
    </fill>
    <fill>
      <patternFill patternType="solid">
        <fgColor rgb="FFFFFFFF"/>
        <bgColor rgb="FFF9F9F9"/>
      </patternFill>
    </fill>
    <fill>
      <patternFill patternType="solid">
        <fgColor rgb="FFEEF4FB"/>
        <bgColor rgb="FFF2F2F2"/>
      </patternFill>
    </fill>
    <fill>
      <patternFill patternType="solid">
        <fgColor rgb="FFC6EFCE"/>
        <bgColor rgb="FFDEEAF1"/>
      </patternFill>
    </fill>
    <fill>
      <patternFill patternType="solid">
        <fgColor rgb="FFFFE699"/>
        <bgColor rgb="FFFFCCCC"/>
      </patternFill>
    </fill>
    <fill>
      <patternFill patternType="solid">
        <fgColor rgb="FFFFCCCC"/>
        <bgColor rgb="FFD9D9D9"/>
      </patternFill>
    </fill>
    <fill>
      <patternFill patternType="solid">
        <fgColor rgb="FF3D0000"/>
        <bgColor rgb="FF000000"/>
      </patternFill>
    </fill>
    <fill>
      <patternFill patternType="solid">
        <fgColor rgb="FFDEEAF1"/>
        <bgColor rgb="FFE8E0FF"/>
      </patternFill>
    </fill>
    <fill>
      <patternFill patternType="solid">
        <fgColor rgb="FF004B5A"/>
        <bgColor rgb="FF1F3864"/>
      </patternFill>
    </fill>
    <fill>
      <patternFill patternType="solid">
        <fgColor rgb="FF3C1D6E"/>
        <bgColor rgb="FF1F3864"/>
      </patternFill>
    </fill>
    <fill>
      <patternFill patternType="solid">
        <fgColor rgb="FFC00000"/>
        <bgColor rgb="FF7F0000"/>
      </patternFill>
    </fill>
    <fill>
      <patternFill patternType="solid">
        <fgColor rgb="FFE8E0FF"/>
        <bgColor rgb="FFDEEAF1"/>
      </patternFill>
    </fill>
    <fill>
      <patternFill patternType="solid">
        <fgColor rgb="FF1E5631"/>
        <bgColor rgb="FF004B5A"/>
      </patternFill>
    </fill>
    <fill>
      <patternFill patternType="solid">
        <fgColor rgb="FF7F5300"/>
        <bgColor rgb="FF808000"/>
      </patternFill>
    </fill>
    <fill>
      <patternFill patternType="solid">
        <fgColor rgb="FF7F0000"/>
        <bgColor rgb="FFC000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6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2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9" fontId="5" fillId="7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2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5" fillId="6" borderId="1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left" vertical="center" wrapText="1"/>
    </xf>
    <xf numFmtId="0" fontId="28" fillId="0" borderId="0" xfId="0" applyFont="1"/>
    <xf numFmtId="1" fontId="4" fillId="7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17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/>
    </xf>
    <xf numFmtId="0" fontId="29" fillId="19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5" borderId="1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9" borderId="1" xfId="0" applyFill="1" applyBorder="1"/>
    <xf numFmtId="0" fontId="30" fillId="10" borderId="1" xfId="0" applyFont="1" applyFill="1" applyBorder="1" applyAlignment="1">
      <alignment horizontal="left" vertical="center" wrapText="1"/>
    </xf>
    <xf numFmtId="0" fontId="28" fillId="11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35" fillId="0" borderId="0" xfId="0" applyFont="1"/>
    <xf numFmtId="0" fontId="17" fillId="0" borderId="0" xfId="0" applyFont="1"/>
    <xf numFmtId="0" fontId="32" fillId="9" borderId="2" xfId="0" applyFont="1" applyFill="1" applyBorder="1" applyAlignment="1">
      <alignment horizontal="left" vertical="center"/>
    </xf>
    <xf numFmtId="0" fontId="33" fillId="10" borderId="2" xfId="0" applyFont="1" applyFill="1" applyBorder="1" applyAlignment="1">
      <alignment horizontal="left" vertical="center"/>
    </xf>
    <xf numFmtId="0" fontId="34" fillId="11" borderId="2" xfId="0" applyFont="1" applyFill="1" applyBorder="1" applyAlignment="1">
      <alignment horizontal="left" vertical="center"/>
    </xf>
    <xf numFmtId="0" fontId="36" fillId="5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6" fillId="13" borderId="0" xfId="0" applyFont="1" applyFill="1" applyAlignment="1">
      <alignment horizontal="left" vertical="center" wrapText="1"/>
    </xf>
    <xf numFmtId="0" fontId="31" fillId="8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 wrapText="1"/>
    </xf>
    <xf numFmtId="0" fontId="14" fillId="5" borderId="0" xfId="0" applyFont="1" applyFill="1" applyAlignment="1">
      <alignment horizontal="center" vertical="center" wrapText="1"/>
    </xf>
    <xf numFmtId="0" fontId="11" fillId="12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17" fillId="6" borderId="2" xfId="0" applyFont="1" applyFill="1" applyBorder="1" applyAlignment="1">
      <alignment horizontal="left" vertical="center" wrapText="1"/>
    </xf>
    <xf numFmtId="0" fontId="17" fillId="7" borderId="2" xfId="0" applyFont="1" applyFill="1" applyBorder="1" applyAlignment="1">
      <alignment horizontal="left" vertical="center" wrapText="1"/>
    </xf>
    <xf numFmtId="0" fontId="6" fillId="15" borderId="0" xfId="0" applyFont="1" applyFill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/>
    </xf>
    <xf numFmtId="0" fontId="6" fillId="14" borderId="0" xfId="0" applyFont="1" applyFill="1" applyAlignment="1">
      <alignment horizontal="left" vertical="center" wrapText="1"/>
    </xf>
    <xf numFmtId="0" fontId="16" fillId="1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center" vertical="center" wrapText="1"/>
    </xf>
    <xf numFmtId="0" fontId="16" fillId="12" borderId="0" xfId="0" applyFont="1" applyFill="1" applyAlignment="1">
      <alignment horizontal="center" vertical="center" wrapText="1"/>
    </xf>
    <xf numFmtId="0" fontId="0" fillId="7" borderId="2" xfId="0" applyFill="1" applyBorder="1"/>
    <xf numFmtId="0" fontId="6" fillId="3" borderId="2" xfId="0" applyFont="1" applyFill="1" applyBorder="1" applyAlignment="1">
      <alignment horizontal="center" vertical="center" wrapText="1"/>
    </xf>
    <xf numFmtId="0" fontId="0" fillId="6" borderId="2" xfId="0" applyFill="1" applyBorder="1"/>
    <xf numFmtId="0" fontId="24" fillId="2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left" vertical="center" wrapText="1"/>
    </xf>
    <xf numFmtId="0" fontId="26" fillId="1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3D0000"/>
      <rgbColor rgb="FF008080"/>
      <rgbColor rgb="FF0000FF"/>
      <rgbColor rgb="FF00CCFF"/>
      <rgbColor rgb="FFEEF4FB"/>
      <rgbColor rgb="FFC6EFCE"/>
      <rgbColor rgb="FFFFE699"/>
      <rgbColor rgb="FFE8E0FF"/>
      <rgbColor rgb="FFF2F2F2"/>
      <rgbColor rgb="FFCC99FF"/>
      <rgbColor rgb="FFFFCCCC"/>
      <rgbColor rgb="FF4F81BD"/>
      <rgbColor rgb="FF33CCCC"/>
      <rgbColor rgb="FF99CC00"/>
      <rgbColor rgb="FFFFCC00"/>
      <rgbColor rgb="FFBF9000"/>
      <rgbColor rgb="FFFF6600"/>
      <rgbColor rgb="FF595959"/>
      <rgbColor rgb="FF969696"/>
      <rgbColor rgb="FF1F3864"/>
      <rgbColor rgb="FF339966"/>
      <rgbColor rgb="FF004B5A"/>
      <rgbColor rgb="FF1E5631"/>
      <rgbColor rgb="FF7F5300"/>
      <rgbColor rgb="FF993366"/>
      <rgbColor rgb="FF2E4D91"/>
      <rgbColor rgb="FF3C1D6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Portfolio Risk Distribution</a:t>
            </a:r>
          </a:p>
        </c:rich>
      </c:tx>
      <c:layout>
        <c:manualLayout>
          <c:xMode val="edge"/>
          <c:yMode val="edge"/>
          <c:x val="0.19344102882009021"/>
          <c:y val="2.822845600625693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'📉 Dashboard'!$C$21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1E56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989-4685-962C-90439CE6BCE0}"/>
              </c:ext>
            </c:extLst>
          </c:dPt>
          <c:dPt>
            <c:idx val="1"/>
            <c:bubble3D val="0"/>
            <c:spPr>
              <a:solidFill>
                <a:srgbClr val="7F53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989-4685-962C-90439CE6BCE0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0989-4685-962C-90439CE6BCE0}"/>
              </c:ext>
            </c:extLst>
          </c:dPt>
          <c:dPt>
            <c:idx val="3"/>
            <c:bubble3D val="0"/>
            <c:spPr>
              <a:solidFill>
                <a:srgbClr val="3D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0989-4685-962C-90439CE6BCE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89-4685-962C-90439CE6BCE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89-4685-962C-90439CE6BCE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989-4685-962C-90439CE6BCE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989-4685-962C-90439CE6BC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'📉 Dashboard'!$B$22:$B$25</c:f>
              <c:strCache>
                <c:ptCount val="4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  <c:pt idx="3">
                  <c:v>Unacceptable</c:v>
                </c:pt>
              </c:strCache>
            </c:strRef>
          </c:cat>
          <c:val>
            <c:numRef>
              <c:f>'📉 Dashboard'!$C$22:$C$25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89-4685-962C-90439CE6B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Clients by Risk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'📉 Dashboard'!$C$21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Dashboard'!$B$22:$B$25</c:f>
              <c:strCache>
                <c:ptCount val="4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  <c:pt idx="3">
                  <c:v>Unacceptable</c:v>
                </c:pt>
              </c:strCache>
            </c:strRef>
          </c:cat>
          <c:val>
            <c:numRef>
              <c:f>'📉 Dashboard'!$C$22:$C$25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9-4832-892C-CE4481F94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19092"/>
        <c:axId val="49350349"/>
      </c:barChart>
      <c:catAx>
        <c:axId val="192190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Risk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350349"/>
        <c:crosses val="autoZero"/>
        <c:auto val="1"/>
        <c:lblAlgn val="ctr"/>
        <c:lblOffset val="100"/>
        <c:noMultiLvlLbl val="0"/>
      </c:catAx>
      <c:valAx>
        <c:axId val="493503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# Clients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2190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161925</xdr:colOff>
      <xdr:row>0</xdr:row>
      <xdr:rowOff>66675</xdr:rowOff>
    </xdr:from>
    <xdr:to>
      <xdr:col>16</xdr:col>
      <xdr:colOff>208200</xdr:colOff>
      <xdr:row>12</xdr:row>
      <xdr:rowOff>246405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161925</xdr:colOff>
      <xdr:row>13</xdr:row>
      <xdr:rowOff>104775</xdr:rowOff>
    </xdr:from>
    <xdr:to>
      <xdr:col>16</xdr:col>
      <xdr:colOff>208200</xdr:colOff>
      <xdr:row>24</xdr:row>
      <xdr:rowOff>189329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4"/>
  <sheetViews>
    <sheetView showGridLines="0" zoomScaleNormal="100" workbookViewId="0">
      <selection activeCell="F8" sqref="F8"/>
    </sheetView>
  </sheetViews>
  <sheetFormatPr defaultColWidth="8.7109375" defaultRowHeight="15" x14ac:dyDescent="0.25"/>
  <cols>
    <col min="1" max="1" width="3" customWidth="1"/>
    <col min="2" max="2" width="19.7109375" bestFit="1" customWidth="1"/>
    <col min="3" max="3" width="28" customWidth="1"/>
    <col min="4" max="4" width="60" customWidth="1"/>
    <col min="5" max="7" width="20" customWidth="1"/>
  </cols>
  <sheetData>
    <row r="1" spans="2:4" ht="7.5" customHeight="1" x14ac:dyDescent="0.25">
      <c r="B1" s="105"/>
      <c r="C1" s="105"/>
      <c r="D1" s="105"/>
    </row>
    <row r="2" spans="2:4" ht="37.5" customHeight="1" x14ac:dyDescent="0.25">
      <c r="B2" s="106" t="s">
        <v>0</v>
      </c>
      <c r="C2" s="106"/>
      <c r="D2" s="106"/>
    </row>
    <row r="3" spans="2:4" ht="21.75" customHeight="1" x14ac:dyDescent="0.25">
      <c r="B3" s="107" t="s">
        <v>1</v>
      </c>
      <c r="C3" s="107"/>
      <c r="D3" s="107"/>
    </row>
    <row r="4" spans="2:4" ht="7.5" customHeight="1" x14ac:dyDescent="0.25">
      <c r="B4" s="108"/>
      <c r="C4" s="108"/>
      <c r="D4" s="108"/>
    </row>
    <row r="5" spans="2:4" ht="9.75" customHeight="1" x14ac:dyDescent="0.25"/>
    <row r="6" spans="2:4" ht="19.5" customHeight="1" x14ac:dyDescent="0.25">
      <c r="B6" s="100" t="s">
        <v>2</v>
      </c>
      <c r="C6" s="100"/>
      <c r="D6" s="100"/>
    </row>
    <row r="7" spans="2:4" ht="51.75" customHeight="1" x14ac:dyDescent="0.25">
      <c r="B7" s="2" t="s">
        <v>3</v>
      </c>
      <c r="C7" s="104" t="s">
        <v>4</v>
      </c>
      <c r="D7" s="104"/>
    </row>
    <row r="8" spans="2:4" ht="51.75" customHeight="1" x14ac:dyDescent="0.25">
      <c r="B8" s="2" t="s">
        <v>5</v>
      </c>
      <c r="C8" s="104" t="s">
        <v>6</v>
      </c>
      <c r="D8" s="104"/>
    </row>
    <row r="9" spans="2:4" ht="51.75" customHeight="1" x14ac:dyDescent="0.25">
      <c r="B9" s="2" t="s">
        <v>7</v>
      </c>
      <c r="C9" s="104" t="s">
        <v>8</v>
      </c>
      <c r="D9" s="104"/>
    </row>
    <row r="10" spans="2:4" ht="51.75" customHeight="1" x14ac:dyDescent="0.25">
      <c r="B10" s="2" t="s">
        <v>9</v>
      </c>
      <c r="C10" s="104" t="s">
        <v>10</v>
      </c>
      <c r="D10" s="104"/>
    </row>
    <row r="11" spans="2:4" ht="9.75" customHeight="1" x14ac:dyDescent="0.25"/>
    <row r="12" spans="2:4" ht="19.5" customHeight="1" x14ac:dyDescent="0.25">
      <c r="B12" s="100" t="s">
        <v>11</v>
      </c>
      <c r="C12" s="100"/>
      <c r="D12" s="100"/>
    </row>
    <row r="13" spans="2:4" ht="18" customHeight="1" x14ac:dyDescent="0.25">
      <c r="B13" s="3" t="s">
        <v>12</v>
      </c>
      <c r="C13" s="103" t="s">
        <v>13</v>
      </c>
      <c r="D13" s="103"/>
    </row>
    <row r="14" spans="2:4" ht="21.75" customHeight="1" x14ac:dyDescent="0.25">
      <c r="B14" s="4" t="s">
        <v>14</v>
      </c>
      <c r="C14" s="101" t="s">
        <v>15</v>
      </c>
      <c r="D14" s="101"/>
    </row>
    <row r="15" spans="2:4" ht="21.75" customHeight="1" x14ac:dyDescent="0.25">
      <c r="B15" s="5" t="s">
        <v>16</v>
      </c>
      <c r="C15" s="102" t="s">
        <v>17</v>
      </c>
      <c r="D15" s="102"/>
    </row>
    <row r="16" spans="2:4" ht="21.75" customHeight="1" x14ac:dyDescent="0.25">
      <c r="B16" s="4" t="s">
        <v>18</v>
      </c>
      <c r="C16" s="101" t="s">
        <v>19</v>
      </c>
      <c r="D16" s="101"/>
    </row>
    <row r="17" spans="2:7" ht="21.75" customHeight="1" x14ac:dyDescent="0.25">
      <c r="B17" s="5" t="s">
        <v>20</v>
      </c>
      <c r="C17" s="102" t="s">
        <v>21</v>
      </c>
      <c r="D17" s="102"/>
    </row>
    <row r="18" spans="2:7" ht="21.75" customHeight="1" x14ac:dyDescent="0.25">
      <c r="B18" s="4" t="s">
        <v>22</v>
      </c>
      <c r="C18" s="101" t="s">
        <v>23</v>
      </c>
      <c r="D18" s="101"/>
    </row>
    <row r="19" spans="2:7" ht="21.75" customHeight="1" x14ac:dyDescent="0.25">
      <c r="B19" s="5" t="s">
        <v>24</v>
      </c>
      <c r="C19" s="102" t="s">
        <v>25</v>
      </c>
      <c r="D19" s="102"/>
    </row>
    <row r="20" spans="2:7" ht="21.75" customHeight="1" x14ac:dyDescent="0.25">
      <c r="B20" s="4" t="s">
        <v>26</v>
      </c>
      <c r="C20" s="101" t="s">
        <v>27</v>
      </c>
      <c r="D20" s="101"/>
    </row>
    <row r="21" spans="2:7" ht="9.75" customHeight="1" x14ac:dyDescent="0.25"/>
    <row r="22" spans="2:7" ht="19.5" customHeight="1" x14ac:dyDescent="0.25">
      <c r="B22" s="100" t="s">
        <v>28</v>
      </c>
      <c r="C22" s="100"/>
      <c r="D22" s="100"/>
    </row>
    <row r="23" spans="2:7" ht="27.75" customHeight="1" x14ac:dyDescent="0.25">
      <c r="B23" s="6" t="s">
        <v>29</v>
      </c>
      <c r="C23" s="6" t="s">
        <v>30</v>
      </c>
      <c r="D23" s="6" t="s">
        <v>31</v>
      </c>
      <c r="E23" s="6" t="s">
        <v>32</v>
      </c>
      <c r="F23" s="6" t="s">
        <v>33</v>
      </c>
      <c r="G23" s="6" t="s">
        <v>34</v>
      </c>
    </row>
    <row r="24" spans="2:7" ht="49.5" customHeight="1" x14ac:dyDescent="0.25">
      <c r="B24" s="7" t="s">
        <v>35</v>
      </c>
      <c r="C24" s="8" t="s">
        <v>36</v>
      </c>
      <c r="D24" s="8" t="s">
        <v>37</v>
      </c>
      <c r="E24" s="8" t="s">
        <v>38</v>
      </c>
      <c r="F24" s="8" t="s">
        <v>39</v>
      </c>
      <c r="G24" s="8" t="s">
        <v>40</v>
      </c>
    </row>
    <row r="25" spans="2:7" ht="49.5" customHeight="1" x14ac:dyDescent="0.25">
      <c r="B25" s="9" t="s">
        <v>41</v>
      </c>
      <c r="C25" s="10" t="s">
        <v>42</v>
      </c>
      <c r="D25" s="10" t="s">
        <v>43</v>
      </c>
      <c r="E25" s="10" t="s">
        <v>44</v>
      </c>
      <c r="F25" s="10" t="s">
        <v>45</v>
      </c>
      <c r="G25" s="10" t="s">
        <v>46</v>
      </c>
    </row>
    <row r="26" spans="2:7" ht="49.5" customHeight="1" x14ac:dyDescent="0.25">
      <c r="B26" s="7" t="s">
        <v>47</v>
      </c>
      <c r="C26" s="8" t="s">
        <v>48</v>
      </c>
      <c r="D26" s="8" t="s">
        <v>49</v>
      </c>
      <c r="E26" s="8" t="s">
        <v>50</v>
      </c>
      <c r="F26" s="8" t="s">
        <v>51</v>
      </c>
      <c r="G26" s="8" t="s">
        <v>52</v>
      </c>
    </row>
    <row r="27" spans="2:7" ht="49.5" customHeight="1" x14ac:dyDescent="0.25">
      <c r="B27" s="9" t="s">
        <v>53</v>
      </c>
      <c r="C27" s="10" t="s">
        <v>54</v>
      </c>
      <c r="D27" s="10" t="s">
        <v>55</v>
      </c>
      <c r="E27" s="10" t="s">
        <v>56</v>
      </c>
      <c r="F27" s="10" t="s">
        <v>57</v>
      </c>
      <c r="G27" s="10" t="s">
        <v>58</v>
      </c>
    </row>
    <row r="28" spans="2:7" ht="49.5" customHeight="1" x14ac:dyDescent="0.25">
      <c r="B28" s="7" t="s">
        <v>59</v>
      </c>
      <c r="C28" s="8" t="s">
        <v>60</v>
      </c>
      <c r="D28" s="8" t="s">
        <v>61</v>
      </c>
      <c r="E28" s="8" t="s">
        <v>62</v>
      </c>
      <c r="F28" s="8" t="s">
        <v>63</v>
      </c>
      <c r="G28" s="8" t="s">
        <v>64</v>
      </c>
    </row>
    <row r="29" spans="2:7" ht="9.75" customHeight="1" x14ac:dyDescent="0.25"/>
    <row r="30" spans="2:7" ht="19.5" customHeight="1" x14ac:dyDescent="0.25">
      <c r="B30" s="100" t="s">
        <v>65</v>
      </c>
      <c r="C30" s="100"/>
      <c r="D30" s="100"/>
    </row>
    <row r="31" spans="2:7" ht="43.5" customHeight="1" x14ac:dyDescent="0.25">
      <c r="B31" s="11" t="s">
        <v>66</v>
      </c>
      <c r="C31" s="96" t="s">
        <v>67</v>
      </c>
      <c r="D31" s="96"/>
    </row>
    <row r="32" spans="2:7" ht="43.5" customHeight="1" x14ac:dyDescent="0.25">
      <c r="B32" s="12" t="s">
        <v>68</v>
      </c>
      <c r="C32" s="97" t="s">
        <v>69</v>
      </c>
      <c r="D32" s="97"/>
    </row>
    <row r="33" spans="2:4" ht="43.5" customHeight="1" x14ac:dyDescent="0.25">
      <c r="B33" s="13" t="s">
        <v>70</v>
      </c>
      <c r="C33" s="98" t="s">
        <v>71</v>
      </c>
      <c r="D33" s="98"/>
    </row>
    <row r="34" spans="2:4" ht="43.5" customHeight="1" x14ac:dyDescent="0.25">
      <c r="B34" s="14" t="s">
        <v>72</v>
      </c>
      <c r="C34" s="99" t="s">
        <v>73</v>
      </c>
      <c r="D34" s="99"/>
    </row>
    <row r="35" spans="2:4" ht="9.75" customHeight="1" x14ac:dyDescent="0.25"/>
    <row r="36" spans="2:4" ht="19.5" customHeight="1" x14ac:dyDescent="0.25">
      <c r="B36" s="100" t="s">
        <v>74</v>
      </c>
      <c r="C36" s="100"/>
      <c r="D36" s="100"/>
    </row>
    <row r="37" spans="2:4" ht="37.5" customHeight="1" x14ac:dyDescent="0.25">
      <c r="B37" s="15" t="s">
        <v>75</v>
      </c>
      <c r="C37" s="95" t="s">
        <v>76</v>
      </c>
      <c r="D37" s="95"/>
    </row>
    <row r="38" spans="2:4" ht="37.5" customHeight="1" x14ac:dyDescent="0.25">
      <c r="B38" s="15" t="s">
        <v>77</v>
      </c>
      <c r="C38" s="93" t="s">
        <v>78</v>
      </c>
      <c r="D38" s="93"/>
    </row>
    <row r="39" spans="2:4" ht="37.5" customHeight="1" x14ac:dyDescent="0.25">
      <c r="B39" s="15" t="s">
        <v>79</v>
      </c>
      <c r="C39" s="95" t="s">
        <v>80</v>
      </c>
      <c r="D39" s="95"/>
    </row>
    <row r="40" spans="2:4" ht="37.5" customHeight="1" x14ac:dyDescent="0.25">
      <c r="B40" s="15" t="s">
        <v>81</v>
      </c>
      <c r="C40" s="93" t="s">
        <v>82</v>
      </c>
      <c r="D40" s="93"/>
    </row>
    <row r="41" spans="2:4" ht="37.5" customHeight="1" x14ac:dyDescent="0.25">
      <c r="B41" s="15" t="s">
        <v>83</v>
      </c>
      <c r="C41" s="95" t="s">
        <v>84</v>
      </c>
      <c r="D41" s="95"/>
    </row>
    <row r="42" spans="2:4" ht="37.5" customHeight="1" x14ac:dyDescent="0.25">
      <c r="B42" s="15" t="s">
        <v>85</v>
      </c>
      <c r="C42" s="93" t="s">
        <v>86</v>
      </c>
      <c r="D42" s="93"/>
    </row>
    <row r="43" spans="2:4" ht="7.5" customHeight="1" x14ac:dyDescent="0.25"/>
    <row r="44" spans="2:4" ht="18" customHeight="1" x14ac:dyDescent="0.25">
      <c r="B44" s="94" t="s">
        <v>87</v>
      </c>
      <c r="C44" s="94"/>
      <c r="D44" s="94"/>
    </row>
  </sheetData>
  <mergeCells count="32">
    <mergeCell ref="B1:D1"/>
    <mergeCell ref="B2:D2"/>
    <mergeCell ref="B3:D3"/>
    <mergeCell ref="B4:D4"/>
    <mergeCell ref="B6:D6"/>
    <mergeCell ref="C7:D7"/>
    <mergeCell ref="C8:D8"/>
    <mergeCell ref="C9:D9"/>
    <mergeCell ref="C10:D10"/>
    <mergeCell ref="B12:D12"/>
    <mergeCell ref="C13:D13"/>
    <mergeCell ref="C14:D14"/>
    <mergeCell ref="C15:D15"/>
    <mergeCell ref="C16:D16"/>
    <mergeCell ref="C17:D17"/>
    <mergeCell ref="C18:D18"/>
    <mergeCell ref="C19:D19"/>
    <mergeCell ref="C20:D20"/>
    <mergeCell ref="B22:D22"/>
    <mergeCell ref="B30:D30"/>
    <mergeCell ref="C31:D31"/>
    <mergeCell ref="C32:D32"/>
    <mergeCell ref="C33:D33"/>
    <mergeCell ref="C34:D34"/>
    <mergeCell ref="B36:D36"/>
    <mergeCell ref="C42:D42"/>
    <mergeCell ref="B44:D44"/>
    <mergeCell ref="C37:D37"/>
    <mergeCell ref="C38:D38"/>
    <mergeCell ref="C39:D39"/>
    <mergeCell ref="C40:D40"/>
    <mergeCell ref="C41:D4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8"/>
  <sheetViews>
    <sheetView showGridLines="0" topLeftCell="A16" zoomScaleNormal="100" workbookViewId="0"/>
  </sheetViews>
  <sheetFormatPr defaultColWidth="8.7109375" defaultRowHeight="15" x14ac:dyDescent="0.25"/>
  <cols>
    <col min="1" max="1" width="3" customWidth="1"/>
    <col min="2" max="2" width="30" customWidth="1"/>
    <col min="3" max="3" width="22" customWidth="1"/>
    <col min="4" max="4" width="50" customWidth="1"/>
    <col min="5" max="5" width="25" customWidth="1"/>
    <col min="6" max="6" width="3" customWidth="1"/>
  </cols>
  <sheetData>
    <row r="1" spans="2:5" ht="33.75" customHeight="1" x14ac:dyDescent="0.25">
      <c r="B1" s="88" t="s">
        <v>88</v>
      </c>
      <c r="C1" s="88"/>
      <c r="D1" s="88"/>
      <c r="E1" s="88"/>
    </row>
    <row r="2" spans="2:5" ht="36" customHeight="1" x14ac:dyDescent="0.25">
      <c r="B2" s="114" t="s">
        <v>89</v>
      </c>
      <c r="C2" s="114"/>
      <c r="D2" s="114"/>
      <c r="E2" s="114"/>
    </row>
    <row r="3" spans="2:5" ht="7.5" customHeight="1" x14ac:dyDescent="0.25"/>
    <row r="4" spans="2:5" ht="19.5" customHeight="1" x14ac:dyDescent="0.25">
      <c r="B4" s="115" t="s">
        <v>90</v>
      </c>
      <c r="C4" s="115"/>
      <c r="D4" s="115"/>
      <c r="E4" s="115"/>
    </row>
    <row r="5" spans="2:5" ht="18" customHeight="1" x14ac:dyDescent="0.25">
      <c r="B5" s="16" t="s">
        <v>91</v>
      </c>
      <c r="C5" s="112" t="s">
        <v>92</v>
      </c>
      <c r="D5" s="112"/>
      <c r="E5" s="17" t="s">
        <v>93</v>
      </c>
    </row>
    <row r="6" spans="2:5" ht="37.5" customHeight="1" x14ac:dyDescent="0.25">
      <c r="B6" s="18" t="s">
        <v>94</v>
      </c>
      <c r="C6" s="110" t="s">
        <v>95</v>
      </c>
      <c r="D6" s="110"/>
      <c r="E6" s="19" t="s">
        <v>96</v>
      </c>
    </row>
    <row r="7" spans="2:5" ht="37.5" customHeight="1" x14ac:dyDescent="0.25">
      <c r="B7" s="18" t="s">
        <v>97</v>
      </c>
      <c r="C7" s="109" t="s">
        <v>98</v>
      </c>
      <c r="D7" s="109"/>
      <c r="E7" s="20" t="s">
        <v>99</v>
      </c>
    </row>
    <row r="8" spans="2:5" ht="37.5" customHeight="1" x14ac:dyDescent="0.25">
      <c r="B8" s="18" t="s">
        <v>100</v>
      </c>
      <c r="C8" s="110" t="s">
        <v>101</v>
      </c>
      <c r="D8" s="110"/>
      <c r="E8" s="19" t="s">
        <v>102</v>
      </c>
    </row>
    <row r="9" spans="2:5" ht="37.5" customHeight="1" x14ac:dyDescent="0.25">
      <c r="B9" s="18" t="s">
        <v>103</v>
      </c>
      <c r="C9" s="109" t="s">
        <v>104</v>
      </c>
      <c r="D9" s="109"/>
      <c r="E9" s="20" t="s">
        <v>105</v>
      </c>
    </row>
    <row r="10" spans="2:5" ht="37.5" customHeight="1" x14ac:dyDescent="0.25">
      <c r="B10" s="18" t="s">
        <v>106</v>
      </c>
      <c r="C10" s="110" t="s">
        <v>107</v>
      </c>
      <c r="D10" s="110"/>
      <c r="E10" s="19" t="s">
        <v>108</v>
      </c>
    </row>
    <row r="11" spans="2:5" ht="37.5" customHeight="1" x14ac:dyDescent="0.25">
      <c r="B11" s="18" t="s">
        <v>109</v>
      </c>
      <c r="C11" s="109" t="s">
        <v>110</v>
      </c>
      <c r="D11" s="109"/>
      <c r="E11" s="20" t="s">
        <v>111</v>
      </c>
    </row>
    <row r="12" spans="2:5" ht="7.5" customHeight="1" x14ac:dyDescent="0.25"/>
    <row r="13" spans="2:5" ht="19.5" customHeight="1" x14ac:dyDescent="0.25">
      <c r="B13" s="90" t="s">
        <v>112</v>
      </c>
      <c r="C13" s="90"/>
      <c r="D13" s="90"/>
      <c r="E13" s="90"/>
    </row>
    <row r="14" spans="2:5" ht="18" customHeight="1" x14ac:dyDescent="0.25">
      <c r="B14" s="16" t="s">
        <v>91</v>
      </c>
      <c r="C14" s="112" t="s">
        <v>92</v>
      </c>
      <c r="D14" s="112"/>
      <c r="E14" s="17" t="s">
        <v>93</v>
      </c>
    </row>
    <row r="15" spans="2:5" ht="37.5" customHeight="1" x14ac:dyDescent="0.25">
      <c r="B15" s="21" t="s">
        <v>113</v>
      </c>
      <c r="C15" s="110" t="s">
        <v>114</v>
      </c>
      <c r="D15" s="110"/>
      <c r="E15" s="19" t="s">
        <v>115</v>
      </c>
    </row>
    <row r="16" spans="2:5" ht="37.5" customHeight="1" x14ac:dyDescent="0.25">
      <c r="B16" s="21" t="s">
        <v>116</v>
      </c>
      <c r="C16" s="109" t="s">
        <v>117</v>
      </c>
      <c r="D16" s="109"/>
      <c r="E16" s="20" t="s">
        <v>118</v>
      </c>
    </row>
    <row r="17" spans="2:5" ht="37.5" customHeight="1" x14ac:dyDescent="0.25">
      <c r="B17" s="21" t="s">
        <v>119</v>
      </c>
      <c r="C17" s="110" t="s">
        <v>120</v>
      </c>
      <c r="D17" s="110"/>
      <c r="E17" s="19" t="s">
        <v>121</v>
      </c>
    </row>
    <row r="18" spans="2:5" ht="37.5" customHeight="1" x14ac:dyDescent="0.25">
      <c r="B18" s="21" t="s">
        <v>122</v>
      </c>
      <c r="C18" s="109" t="s">
        <v>123</v>
      </c>
      <c r="D18" s="109"/>
      <c r="E18" s="20" t="s">
        <v>124</v>
      </c>
    </row>
    <row r="19" spans="2:5" ht="37.5" customHeight="1" x14ac:dyDescent="0.25">
      <c r="B19" s="21" t="s">
        <v>125</v>
      </c>
      <c r="C19" s="110" t="s">
        <v>126</v>
      </c>
      <c r="D19" s="110"/>
      <c r="E19" s="19" t="s">
        <v>127</v>
      </c>
    </row>
    <row r="20" spans="2:5" ht="37.5" customHeight="1" x14ac:dyDescent="0.25">
      <c r="B20" s="21" t="s">
        <v>128</v>
      </c>
      <c r="C20" s="109" t="s">
        <v>129</v>
      </c>
      <c r="D20" s="109"/>
      <c r="E20" s="20" t="s">
        <v>130</v>
      </c>
    </row>
    <row r="21" spans="2:5" ht="37.5" customHeight="1" x14ac:dyDescent="0.25">
      <c r="B21" s="21" t="s">
        <v>131</v>
      </c>
      <c r="C21" s="110" t="s">
        <v>132</v>
      </c>
      <c r="D21" s="110"/>
      <c r="E21" s="19" t="s">
        <v>133</v>
      </c>
    </row>
    <row r="22" spans="2:5" ht="7.5" customHeight="1" x14ac:dyDescent="0.25"/>
    <row r="23" spans="2:5" ht="19.5" customHeight="1" x14ac:dyDescent="0.25">
      <c r="B23" s="91" t="s">
        <v>134</v>
      </c>
      <c r="C23" s="91"/>
      <c r="D23" s="91"/>
      <c r="E23" s="91"/>
    </row>
    <row r="24" spans="2:5" ht="18" customHeight="1" x14ac:dyDescent="0.25">
      <c r="B24" s="16" t="s">
        <v>91</v>
      </c>
      <c r="C24" s="112" t="s">
        <v>92</v>
      </c>
      <c r="D24" s="112"/>
      <c r="E24" s="17" t="s">
        <v>93</v>
      </c>
    </row>
    <row r="25" spans="2:5" ht="37.5" customHeight="1" x14ac:dyDescent="0.25">
      <c r="B25" s="22" t="s">
        <v>135</v>
      </c>
      <c r="C25" s="110" t="s">
        <v>136</v>
      </c>
      <c r="D25" s="110"/>
      <c r="E25" s="19" t="s">
        <v>137</v>
      </c>
    </row>
    <row r="26" spans="2:5" ht="37.5" customHeight="1" x14ac:dyDescent="0.25">
      <c r="B26" s="22" t="s">
        <v>138</v>
      </c>
      <c r="C26" s="109" t="s">
        <v>139</v>
      </c>
      <c r="D26" s="109"/>
      <c r="E26" s="20" t="s">
        <v>140</v>
      </c>
    </row>
    <row r="27" spans="2:5" ht="37.5" customHeight="1" x14ac:dyDescent="0.25">
      <c r="B27" s="22" t="s">
        <v>141</v>
      </c>
      <c r="C27" s="110" t="s">
        <v>142</v>
      </c>
      <c r="D27" s="110"/>
      <c r="E27" s="19" t="s">
        <v>143</v>
      </c>
    </row>
    <row r="28" spans="2:5" ht="37.5" customHeight="1" x14ac:dyDescent="0.25">
      <c r="B28" s="22" t="s">
        <v>144</v>
      </c>
      <c r="C28" s="109" t="s">
        <v>145</v>
      </c>
      <c r="D28" s="109"/>
      <c r="E28" s="20" t="s">
        <v>146</v>
      </c>
    </row>
    <row r="29" spans="2:5" ht="37.5" customHeight="1" x14ac:dyDescent="0.25">
      <c r="B29" s="22" t="s">
        <v>147</v>
      </c>
      <c r="C29" s="110" t="s">
        <v>148</v>
      </c>
      <c r="D29" s="110"/>
      <c r="E29" s="19" t="s">
        <v>149</v>
      </c>
    </row>
    <row r="30" spans="2:5" ht="37.5" customHeight="1" x14ac:dyDescent="0.25">
      <c r="B30" s="22" t="s">
        <v>150</v>
      </c>
      <c r="C30" s="109" t="s">
        <v>151</v>
      </c>
      <c r="D30" s="109"/>
      <c r="E30" s="20" t="s">
        <v>152</v>
      </c>
    </row>
    <row r="31" spans="2:5" ht="7.5" customHeight="1" x14ac:dyDescent="0.25"/>
    <row r="32" spans="2:5" ht="19.5" customHeight="1" x14ac:dyDescent="0.25">
      <c r="B32" s="113" t="s">
        <v>153</v>
      </c>
      <c r="C32" s="113"/>
      <c r="D32" s="113"/>
      <c r="E32" s="113"/>
    </row>
    <row r="33" spans="2:5" ht="18" customHeight="1" x14ac:dyDescent="0.25">
      <c r="B33" s="16" t="s">
        <v>91</v>
      </c>
      <c r="C33" s="112" t="s">
        <v>92</v>
      </c>
      <c r="D33" s="112"/>
      <c r="E33" s="17" t="s">
        <v>93</v>
      </c>
    </row>
    <row r="34" spans="2:5" ht="37.5" customHeight="1" x14ac:dyDescent="0.25">
      <c r="B34" s="23" t="s">
        <v>154</v>
      </c>
      <c r="C34" s="110" t="s">
        <v>155</v>
      </c>
      <c r="D34" s="110"/>
      <c r="E34" s="19" t="s">
        <v>156</v>
      </c>
    </row>
    <row r="35" spans="2:5" ht="37.5" customHeight="1" x14ac:dyDescent="0.25">
      <c r="B35" s="23" t="s">
        <v>157</v>
      </c>
      <c r="C35" s="109" t="s">
        <v>158</v>
      </c>
      <c r="D35" s="109"/>
      <c r="E35" s="20" t="s">
        <v>159</v>
      </c>
    </row>
    <row r="36" spans="2:5" ht="37.5" customHeight="1" x14ac:dyDescent="0.25">
      <c r="B36" s="23" t="s">
        <v>160</v>
      </c>
      <c r="C36" s="110" t="s">
        <v>161</v>
      </c>
      <c r="D36" s="110"/>
      <c r="E36" s="19" t="s">
        <v>162</v>
      </c>
    </row>
    <row r="37" spans="2:5" ht="37.5" customHeight="1" x14ac:dyDescent="0.25">
      <c r="B37" s="23" t="s">
        <v>163</v>
      </c>
      <c r="C37" s="109" t="s">
        <v>164</v>
      </c>
      <c r="D37" s="109"/>
      <c r="E37" s="20" t="s">
        <v>165</v>
      </c>
    </row>
    <row r="38" spans="2:5" ht="37.5" customHeight="1" x14ac:dyDescent="0.25">
      <c r="B38" s="23" t="s">
        <v>166</v>
      </c>
      <c r="C38" s="110" t="s">
        <v>167</v>
      </c>
      <c r="D38" s="110"/>
      <c r="E38" s="19" t="s">
        <v>168</v>
      </c>
    </row>
    <row r="39" spans="2:5" ht="37.5" customHeight="1" x14ac:dyDescent="0.25">
      <c r="B39" s="23" t="s">
        <v>169</v>
      </c>
      <c r="C39" s="109" t="s">
        <v>170</v>
      </c>
      <c r="D39" s="109"/>
      <c r="E39" s="20" t="s">
        <v>171</v>
      </c>
    </row>
    <row r="40" spans="2:5" ht="7.5" customHeight="1" x14ac:dyDescent="0.25"/>
    <row r="41" spans="2:5" ht="19.5" customHeight="1" x14ac:dyDescent="0.25">
      <c r="B41" s="111" t="s">
        <v>172</v>
      </c>
      <c r="C41" s="111"/>
      <c r="D41" s="111"/>
      <c r="E41" s="111"/>
    </row>
    <row r="42" spans="2:5" ht="18" customHeight="1" x14ac:dyDescent="0.25">
      <c r="B42" s="16" t="s">
        <v>91</v>
      </c>
      <c r="C42" s="112" t="s">
        <v>92</v>
      </c>
      <c r="D42" s="112"/>
      <c r="E42" s="17" t="s">
        <v>93</v>
      </c>
    </row>
    <row r="43" spans="2:5" ht="37.5" customHeight="1" x14ac:dyDescent="0.25">
      <c r="B43" s="24" t="s">
        <v>173</v>
      </c>
      <c r="C43" s="110" t="s">
        <v>174</v>
      </c>
      <c r="D43" s="110"/>
      <c r="E43" s="19" t="s">
        <v>175</v>
      </c>
    </row>
    <row r="44" spans="2:5" ht="37.5" customHeight="1" x14ac:dyDescent="0.25">
      <c r="B44" s="24" t="s">
        <v>176</v>
      </c>
      <c r="C44" s="109" t="s">
        <v>177</v>
      </c>
      <c r="D44" s="109"/>
      <c r="E44" s="20" t="s">
        <v>178</v>
      </c>
    </row>
    <row r="45" spans="2:5" ht="37.5" customHeight="1" x14ac:dyDescent="0.25">
      <c r="B45" s="24" t="s">
        <v>179</v>
      </c>
      <c r="C45" s="110" t="s">
        <v>180</v>
      </c>
      <c r="D45" s="110"/>
      <c r="E45" s="19" t="s">
        <v>181</v>
      </c>
    </row>
    <row r="46" spans="2:5" ht="37.5" customHeight="1" x14ac:dyDescent="0.25">
      <c r="B46" s="24" t="s">
        <v>182</v>
      </c>
      <c r="C46" s="109" t="s">
        <v>183</v>
      </c>
      <c r="D46" s="109"/>
      <c r="E46" s="20" t="s">
        <v>184</v>
      </c>
    </row>
    <row r="47" spans="2:5" ht="37.5" customHeight="1" x14ac:dyDescent="0.25">
      <c r="B47" s="24" t="s">
        <v>185</v>
      </c>
      <c r="C47" s="110" t="s">
        <v>186</v>
      </c>
      <c r="D47" s="110"/>
      <c r="E47" s="19" t="s">
        <v>187</v>
      </c>
    </row>
    <row r="48" spans="2:5" ht="7.5" customHeight="1" x14ac:dyDescent="0.25"/>
  </sheetData>
  <mergeCells count="42">
    <mergeCell ref="B1:E1"/>
    <mergeCell ref="B2:E2"/>
    <mergeCell ref="B4:E4"/>
    <mergeCell ref="C5:D5"/>
    <mergeCell ref="C6:D6"/>
    <mergeCell ref="C7:D7"/>
    <mergeCell ref="C8:D8"/>
    <mergeCell ref="C9:D9"/>
    <mergeCell ref="C10:D10"/>
    <mergeCell ref="C11:D11"/>
    <mergeCell ref="B13:E13"/>
    <mergeCell ref="C14:D14"/>
    <mergeCell ref="C15:D15"/>
    <mergeCell ref="C16:D16"/>
    <mergeCell ref="C17:D17"/>
    <mergeCell ref="C18:D18"/>
    <mergeCell ref="C19:D19"/>
    <mergeCell ref="C20:D20"/>
    <mergeCell ref="C21:D21"/>
    <mergeCell ref="B23:E23"/>
    <mergeCell ref="C24:D24"/>
    <mergeCell ref="C25:D25"/>
    <mergeCell ref="C26:D26"/>
    <mergeCell ref="C27:D27"/>
    <mergeCell ref="C28:D28"/>
    <mergeCell ref="C29:D29"/>
    <mergeCell ref="C30:D30"/>
    <mergeCell ref="B32:E32"/>
    <mergeCell ref="C33:D33"/>
    <mergeCell ref="C34:D34"/>
    <mergeCell ref="C35:D35"/>
    <mergeCell ref="C36:D36"/>
    <mergeCell ref="C37:D37"/>
    <mergeCell ref="C38:D38"/>
    <mergeCell ref="C39:D39"/>
    <mergeCell ref="C46:D46"/>
    <mergeCell ref="C47:D47"/>
    <mergeCell ref="B41:E41"/>
    <mergeCell ref="C42:D42"/>
    <mergeCell ref="C43:D43"/>
    <mergeCell ref="C44:D44"/>
    <mergeCell ref="C45:D4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X1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10" customWidth="1"/>
    <col min="3" max="3" width="34" customWidth="1"/>
    <col min="4" max="4" width="18" customWidth="1"/>
    <col min="5" max="5" width="24" customWidth="1"/>
    <col min="6" max="6" width="10" customWidth="1"/>
    <col min="7" max="7" width="20" customWidth="1"/>
    <col min="8" max="9" width="28" customWidth="1"/>
    <col min="10" max="10" width="9" customWidth="1"/>
    <col min="11" max="11" width="22" customWidth="1"/>
    <col min="12" max="12" width="10" customWidth="1"/>
    <col min="13" max="13" width="28" customWidth="1"/>
    <col min="14" max="14" width="9" customWidth="1"/>
    <col min="15" max="15" width="22" customWidth="1"/>
    <col min="16" max="16" width="10" customWidth="1"/>
    <col min="17" max="17" width="30" customWidth="1"/>
    <col min="18" max="18" width="16" customWidth="1"/>
    <col min="19" max="19" width="20" customWidth="1"/>
    <col min="20" max="20" width="24" customWidth="1"/>
    <col min="21" max="21" width="20" customWidth="1"/>
    <col min="22" max="22" width="30" customWidth="1"/>
    <col min="23" max="23" width="36" customWidth="1"/>
    <col min="24" max="24" width="18" customWidth="1"/>
  </cols>
  <sheetData>
    <row r="1" spans="2:24" ht="30" customHeight="1" x14ac:dyDescent="0.25">
      <c r="B1" s="116" t="s">
        <v>188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</row>
    <row r="2" spans="2:24" ht="24" customHeight="1" x14ac:dyDescent="0.25">
      <c r="B2" s="117" t="s">
        <v>189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</row>
    <row r="3" spans="2:24" ht="7.5" customHeight="1" x14ac:dyDescent="0.25"/>
    <row r="4" spans="2:24" ht="27.75" customHeight="1" x14ac:dyDescent="0.25">
      <c r="B4" s="25" t="s">
        <v>190</v>
      </c>
      <c r="C4" s="25" t="s">
        <v>191</v>
      </c>
      <c r="D4" s="25" t="s">
        <v>192</v>
      </c>
      <c r="E4" s="25" t="s">
        <v>193</v>
      </c>
      <c r="F4" s="25" t="s">
        <v>194</v>
      </c>
      <c r="G4" s="25" t="s">
        <v>195</v>
      </c>
      <c r="H4" s="25" t="s">
        <v>196</v>
      </c>
      <c r="I4" s="25" t="s">
        <v>197</v>
      </c>
      <c r="J4" s="25" t="s">
        <v>198</v>
      </c>
      <c r="K4" s="25" t="s">
        <v>199</v>
      </c>
      <c r="L4" s="25" t="s">
        <v>200</v>
      </c>
      <c r="M4" s="25" t="s">
        <v>201</v>
      </c>
      <c r="N4" s="25" t="s">
        <v>202</v>
      </c>
      <c r="O4" s="25" t="s">
        <v>203</v>
      </c>
      <c r="P4" s="25" t="s">
        <v>204</v>
      </c>
      <c r="Q4" s="25" t="s">
        <v>205</v>
      </c>
      <c r="R4" s="25" t="s">
        <v>206</v>
      </c>
      <c r="S4" s="25" t="s">
        <v>207</v>
      </c>
      <c r="T4" s="25" t="s">
        <v>208</v>
      </c>
      <c r="U4" s="25" t="s">
        <v>209</v>
      </c>
      <c r="V4" s="25" t="s">
        <v>210</v>
      </c>
      <c r="W4" s="25" t="s">
        <v>211</v>
      </c>
      <c r="X4" s="25" t="s">
        <v>212</v>
      </c>
    </row>
    <row r="5" spans="2:24" ht="51.75" customHeight="1" x14ac:dyDescent="0.25">
      <c r="B5" s="26" t="s">
        <v>213</v>
      </c>
      <c r="C5" s="26" t="s">
        <v>214</v>
      </c>
      <c r="D5" s="26" t="s">
        <v>215</v>
      </c>
      <c r="E5" s="26" t="s">
        <v>216</v>
      </c>
      <c r="F5" s="26" t="s">
        <v>217</v>
      </c>
      <c r="G5" s="26" t="s">
        <v>218</v>
      </c>
      <c r="H5" s="26" t="s">
        <v>219</v>
      </c>
      <c r="I5" s="26" t="s">
        <v>220</v>
      </c>
      <c r="J5" s="26" t="s">
        <v>221</v>
      </c>
      <c r="K5" s="26" t="s">
        <v>222</v>
      </c>
      <c r="L5" s="26" t="s">
        <v>223</v>
      </c>
      <c r="M5" s="26" t="s">
        <v>224</v>
      </c>
      <c r="N5" s="26" t="s">
        <v>225</v>
      </c>
      <c r="O5" s="26" t="s">
        <v>222</v>
      </c>
      <c r="P5" s="26" t="s">
        <v>223</v>
      </c>
      <c r="Q5" s="26" t="s">
        <v>226</v>
      </c>
      <c r="R5" s="26" t="s">
        <v>227</v>
      </c>
      <c r="S5" s="26" t="s">
        <v>228</v>
      </c>
      <c r="T5" s="26" t="s">
        <v>229</v>
      </c>
      <c r="U5" s="26" t="s">
        <v>230</v>
      </c>
      <c r="V5" s="26" t="s">
        <v>231</v>
      </c>
      <c r="W5" s="26" t="s">
        <v>232</v>
      </c>
      <c r="X5" s="27" t="s">
        <v>233</v>
      </c>
    </row>
    <row r="6" spans="2:24" ht="51.75" customHeight="1" x14ac:dyDescent="0.25">
      <c r="B6" s="28" t="s">
        <v>234</v>
      </c>
      <c r="C6" s="28" t="s">
        <v>235</v>
      </c>
      <c r="D6" s="28" t="s">
        <v>215</v>
      </c>
      <c r="E6" s="28" t="s">
        <v>236</v>
      </c>
      <c r="F6" s="28" t="s">
        <v>237</v>
      </c>
      <c r="G6" s="28" t="s">
        <v>238</v>
      </c>
      <c r="H6" s="28" t="s">
        <v>239</v>
      </c>
      <c r="I6" s="28" t="s">
        <v>240</v>
      </c>
      <c r="J6" s="28" t="s">
        <v>241</v>
      </c>
      <c r="K6" s="28" t="s">
        <v>242</v>
      </c>
      <c r="L6" s="28" t="s">
        <v>223</v>
      </c>
      <c r="M6" s="28" t="s">
        <v>243</v>
      </c>
      <c r="N6" s="28" t="s">
        <v>244</v>
      </c>
      <c r="O6" s="28" t="s">
        <v>245</v>
      </c>
      <c r="P6" s="28" t="s">
        <v>223</v>
      </c>
      <c r="Q6" s="28" t="s">
        <v>246</v>
      </c>
      <c r="R6" s="28" t="s">
        <v>247</v>
      </c>
      <c r="S6" s="28" t="s">
        <v>228</v>
      </c>
      <c r="T6" s="28" t="s">
        <v>248</v>
      </c>
      <c r="U6" s="28" t="s">
        <v>230</v>
      </c>
      <c r="V6" s="28" t="s">
        <v>231</v>
      </c>
      <c r="W6" s="29" t="s">
        <v>249</v>
      </c>
      <c r="X6" s="30" t="s">
        <v>250</v>
      </c>
    </row>
    <row r="7" spans="2:24" ht="51.75" customHeight="1" x14ac:dyDescent="0.25">
      <c r="B7" s="26" t="s">
        <v>251</v>
      </c>
      <c r="C7" s="26" t="s">
        <v>252</v>
      </c>
      <c r="D7" s="26" t="s">
        <v>253</v>
      </c>
      <c r="E7" s="26" t="s">
        <v>254</v>
      </c>
      <c r="F7" s="26" t="s">
        <v>255</v>
      </c>
      <c r="G7" s="26" t="s">
        <v>218</v>
      </c>
      <c r="H7" s="26" t="s">
        <v>256</v>
      </c>
      <c r="I7" s="26" t="s">
        <v>257</v>
      </c>
      <c r="J7" s="26" t="s">
        <v>258</v>
      </c>
      <c r="K7" s="26" t="s">
        <v>259</v>
      </c>
      <c r="L7" s="31" t="s">
        <v>260</v>
      </c>
      <c r="M7" s="26" t="s">
        <v>261</v>
      </c>
      <c r="N7" s="26" t="s">
        <v>262</v>
      </c>
      <c r="O7" s="26" t="s">
        <v>263</v>
      </c>
      <c r="P7" s="26" t="s">
        <v>223</v>
      </c>
      <c r="Q7" s="26" t="s">
        <v>264</v>
      </c>
      <c r="R7" s="26" t="s">
        <v>265</v>
      </c>
      <c r="S7" s="26" t="s">
        <v>228</v>
      </c>
      <c r="T7" s="26" t="s">
        <v>266</v>
      </c>
      <c r="U7" s="26" t="s">
        <v>267</v>
      </c>
      <c r="V7" s="32" t="s">
        <v>268</v>
      </c>
      <c r="W7" s="31" t="s">
        <v>269</v>
      </c>
      <c r="X7" s="33" t="s">
        <v>270</v>
      </c>
    </row>
    <row r="8" spans="2:24" ht="51.75" customHeight="1" x14ac:dyDescent="0.25">
      <c r="B8" s="28" t="s">
        <v>271</v>
      </c>
      <c r="C8" s="28" t="s">
        <v>272</v>
      </c>
      <c r="D8" s="28" t="s">
        <v>273</v>
      </c>
      <c r="E8" s="28" t="s">
        <v>274</v>
      </c>
      <c r="F8" s="28" t="s">
        <v>275</v>
      </c>
      <c r="G8" s="28" t="s">
        <v>276</v>
      </c>
      <c r="H8" s="28" t="s">
        <v>277</v>
      </c>
      <c r="I8" s="28" t="s">
        <v>278</v>
      </c>
      <c r="J8" s="28" t="s">
        <v>279</v>
      </c>
      <c r="K8" s="28" t="s">
        <v>280</v>
      </c>
      <c r="L8" s="28" t="s">
        <v>223</v>
      </c>
      <c r="M8" s="28" t="s">
        <v>281</v>
      </c>
      <c r="N8" s="28" t="s">
        <v>282</v>
      </c>
      <c r="O8" s="28" t="s">
        <v>283</v>
      </c>
      <c r="P8" s="28" t="s">
        <v>223</v>
      </c>
      <c r="Q8" s="28" t="s">
        <v>284</v>
      </c>
      <c r="R8" s="28" t="s">
        <v>285</v>
      </c>
      <c r="S8" s="28" t="s">
        <v>286</v>
      </c>
      <c r="T8" s="28" t="s">
        <v>287</v>
      </c>
      <c r="U8" s="28" t="s">
        <v>230</v>
      </c>
      <c r="V8" s="32" t="s">
        <v>288</v>
      </c>
      <c r="W8" s="28" t="s">
        <v>289</v>
      </c>
      <c r="X8" s="30" t="s">
        <v>250</v>
      </c>
    </row>
    <row r="9" spans="2:24" ht="51.75" customHeight="1" x14ac:dyDescent="0.25">
      <c r="B9" s="26" t="s">
        <v>290</v>
      </c>
      <c r="C9" s="26" t="s">
        <v>291</v>
      </c>
      <c r="D9" s="26" t="s">
        <v>215</v>
      </c>
      <c r="E9" s="26" t="s">
        <v>292</v>
      </c>
      <c r="F9" s="26" t="s">
        <v>293</v>
      </c>
      <c r="G9" s="26" t="s">
        <v>294</v>
      </c>
      <c r="H9" s="26" t="s">
        <v>295</v>
      </c>
      <c r="I9" s="26" t="s">
        <v>296</v>
      </c>
      <c r="J9" s="26" t="s">
        <v>297</v>
      </c>
      <c r="K9" s="26" t="s">
        <v>298</v>
      </c>
      <c r="L9" s="26" t="s">
        <v>299</v>
      </c>
      <c r="M9" s="26" t="s">
        <v>300</v>
      </c>
      <c r="N9" s="26" t="s">
        <v>297</v>
      </c>
      <c r="O9" s="26" t="s">
        <v>301</v>
      </c>
      <c r="P9" s="26" t="s">
        <v>299</v>
      </c>
      <c r="Q9" s="26" t="s">
        <v>302</v>
      </c>
      <c r="R9" s="26" t="s">
        <v>303</v>
      </c>
      <c r="S9" s="26" t="s">
        <v>228</v>
      </c>
      <c r="T9" s="26" t="s">
        <v>304</v>
      </c>
      <c r="U9" s="34" t="s">
        <v>305</v>
      </c>
      <c r="V9" s="32" t="s">
        <v>306</v>
      </c>
      <c r="W9" s="31" t="s">
        <v>307</v>
      </c>
      <c r="X9" s="35" t="s">
        <v>308</v>
      </c>
    </row>
    <row r="10" spans="2:24" ht="51.75" customHeight="1" x14ac:dyDescent="0.25">
      <c r="B10" s="28" t="s">
        <v>309</v>
      </c>
      <c r="C10" s="28" t="s">
        <v>310</v>
      </c>
      <c r="D10" s="28" t="s">
        <v>215</v>
      </c>
      <c r="E10" s="28" t="s">
        <v>311</v>
      </c>
      <c r="F10" s="28" t="s">
        <v>312</v>
      </c>
      <c r="G10" s="28" t="s">
        <v>218</v>
      </c>
      <c r="H10" s="28" t="s">
        <v>313</v>
      </c>
      <c r="I10" s="28" t="s">
        <v>314</v>
      </c>
      <c r="J10" s="28" t="s">
        <v>315</v>
      </c>
      <c r="K10" s="28" t="s">
        <v>222</v>
      </c>
      <c r="L10" s="28" t="s">
        <v>223</v>
      </c>
      <c r="M10" s="28" t="s">
        <v>316</v>
      </c>
      <c r="N10" s="28" t="s">
        <v>317</v>
      </c>
      <c r="O10" s="28" t="s">
        <v>317</v>
      </c>
      <c r="P10" s="28" t="s">
        <v>317</v>
      </c>
      <c r="Q10" s="28" t="s">
        <v>318</v>
      </c>
      <c r="R10" s="28" t="s">
        <v>319</v>
      </c>
      <c r="S10" s="28" t="s">
        <v>320</v>
      </c>
      <c r="T10" s="28" t="s">
        <v>321</v>
      </c>
      <c r="U10" s="28" t="s">
        <v>230</v>
      </c>
      <c r="V10" s="28" t="s">
        <v>231</v>
      </c>
      <c r="W10" s="28" t="s">
        <v>322</v>
      </c>
      <c r="X10" s="27" t="s">
        <v>233</v>
      </c>
    </row>
    <row r="11" spans="2:24" ht="51.75" customHeight="1" x14ac:dyDescent="0.25">
      <c r="B11" s="26" t="s">
        <v>323</v>
      </c>
      <c r="C11" s="26" t="s">
        <v>324</v>
      </c>
      <c r="D11" s="26" t="s">
        <v>253</v>
      </c>
      <c r="E11" s="26" t="s">
        <v>325</v>
      </c>
      <c r="F11" s="26" t="s">
        <v>326</v>
      </c>
      <c r="G11" s="26" t="s">
        <v>238</v>
      </c>
      <c r="H11" s="26" t="s">
        <v>327</v>
      </c>
      <c r="I11" s="26" t="s">
        <v>328</v>
      </c>
      <c r="J11" s="26" t="s">
        <v>221</v>
      </c>
      <c r="K11" s="26" t="s">
        <v>222</v>
      </c>
      <c r="L11" s="26" t="s">
        <v>223</v>
      </c>
      <c r="M11" s="26" t="s">
        <v>329</v>
      </c>
      <c r="N11" s="26" t="s">
        <v>225</v>
      </c>
      <c r="O11" s="26" t="s">
        <v>330</v>
      </c>
      <c r="P11" s="26" t="s">
        <v>331</v>
      </c>
      <c r="Q11" s="26" t="s">
        <v>332</v>
      </c>
      <c r="R11" s="26" t="s">
        <v>333</v>
      </c>
      <c r="S11" s="26" t="s">
        <v>228</v>
      </c>
      <c r="T11" s="26" t="s">
        <v>334</v>
      </c>
      <c r="U11" s="26" t="s">
        <v>230</v>
      </c>
      <c r="V11" s="26" t="s">
        <v>231</v>
      </c>
      <c r="W11" s="29" t="s">
        <v>335</v>
      </c>
      <c r="X11" s="33" t="s">
        <v>270</v>
      </c>
    </row>
    <row r="12" spans="2:24" ht="51.75" customHeight="1" x14ac:dyDescent="0.25">
      <c r="B12" s="28" t="s">
        <v>336</v>
      </c>
      <c r="C12" s="28" t="s">
        <v>337</v>
      </c>
      <c r="D12" s="28" t="s">
        <v>215</v>
      </c>
      <c r="E12" s="28" t="s">
        <v>338</v>
      </c>
      <c r="F12" s="28" t="s">
        <v>339</v>
      </c>
      <c r="G12" s="28" t="s">
        <v>218</v>
      </c>
      <c r="H12" s="28" t="s">
        <v>340</v>
      </c>
      <c r="I12" s="28" t="s">
        <v>341</v>
      </c>
      <c r="J12" s="28" t="s">
        <v>258</v>
      </c>
      <c r="K12" s="28" t="s">
        <v>222</v>
      </c>
      <c r="L12" s="28" t="s">
        <v>223</v>
      </c>
      <c r="M12" s="28" t="s">
        <v>342</v>
      </c>
      <c r="N12" s="28" t="s">
        <v>262</v>
      </c>
      <c r="O12" s="28" t="s">
        <v>222</v>
      </c>
      <c r="P12" s="28" t="s">
        <v>223</v>
      </c>
      <c r="Q12" s="28" t="s">
        <v>343</v>
      </c>
      <c r="R12" s="28" t="s">
        <v>344</v>
      </c>
      <c r="S12" s="28" t="s">
        <v>228</v>
      </c>
      <c r="T12" s="28" t="s">
        <v>345</v>
      </c>
      <c r="U12" s="28" t="s">
        <v>230</v>
      </c>
      <c r="V12" s="28" t="s">
        <v>231</v>
      </c>
      <c r="W12" s="28" t="s">
        <v>346</v>
      </c>
      <c r="X12" s="27" t="s">
        <v>233</v>
      </c>
    </row>
    <row r="13" spans="2:24" ht="51.75" customHeight="1" x14ac:dyDescent="0.25">
      <c r="B13" s="26" t="s">
        <v>347</v>
      </c>
      <c r="C13" s="26" t="s">
        <v>348</v>
      </c>
      <c r="D13" s="26" t="s">
        <v>215</v>
      </c>
      <c r="E13" s="26" t="s">
        <v>349</v>
      </c>
      <c r="F13" s="26" t="s">
        <v>350</v>
      </c>
      <c r="G13" s="26" t="s">
        <v>238</v>
      </c>
      <c r="H13" s="26" t="s">
        <v>351</v>
      </c>
      <c r="I13" s="26" t="s">
        <v>352</v>
      </c>
      <c r="J13" s="26" t="s">
        <v>353</v>
      </c>
      <c r="K13" s="26" t="s">
        <v>222</v>
      </c>
      <c r="L13" s="26" t="s">
        <v>223</v>
      </c>
      <c r="M13" s="26" t="s">
        <v>354</v>
      </c>
      <c r="N13" s="26" t="s">
        <v>355</v>
      </c>
      <c r="O13" s="26" t="s">
        <v>356</v>
      </c>
      <c r="P13" s="26" t="s">
        <v>357</v>
      </c>
      <c r="Q13" s="26" t="s">
        <v>358</v>
      </c>
      <c r="R13" s="26" t="s">
        <v>359</v>
      </c>
      <c r="S13" s="26" t="s">
        <v>228</v>
      </c>
      <c r="T13" s="26" t="s">
        <v>360</v>
      </c>
      <c r="U13" s="26" t="s">
        <v>230</v>
      </c>
      <c r="V13" s="26" t="s">
        <v>231</v>
      </c>
      <c r="W13" s="26" t="s">
        <v>361</v>
      </c>
      <c r="X13" s="33" t="s">
        <v>270</v>
      </c>
    </row>
    <row r="14" spans="2:24" ht="51.75" customHeight="1" x14ac:dyDescent="0.25">
      <c r="B14" s="28" t="s">
        <v>362</v>
      </c>
      <c r="C14" s="28" t="s">
        <v>363</v>
      </c>
      <c r="D14" s="28" t="s">
        <v>364</v>
      </c>
      <c r="E14" s="28" t="s">
        <v>365</v>
      </c>
      <c r="F14" s="28" t="s">
        <v>366</v>
      </c>
      <c r="G14" s="28" t="s">
        <v>367</v>
      </c>
      <c r="H14" s="28" t="s">
        <v>368</v>
      </c>
      <c r="I14" s="28" t="s">
        <v>369</v>
      </c>
      <c r="J14" s="28" t="s">
        <v>241</v>
      </c>
      <c r="K14" s="28" t="s">
        <v>222</v>
      </c>
      <c r="L14" s="28" t="s">
        <v>223</v>
      </c>
      <c r="M14" s="28" t="s">
        <v>370</v>
      </c>
      <c r="N14" s="28" t="s">
        <v>244</v>
      </c>
      <c r="O14" s="28" t="s">
        <v>371</v>
      </c>
      <c r="P14" s="28" t="s">
        <v>223</v>
      </c>
      <c r="Q14" s="28" t="s">
        <v>372</v>
      </c>
      <c r="R14" s="28" t="s">
        <v>373</v>
      </c>
      <c r="S14" s="28" t="s">
        <v>228</v>
      </c>
      <c r="T14" s="28" t="s">
        <v>374</v>
      </c>
      <c r="U14" s="28" t="s">
        <v>230</v>
      </c>
      <c r="V14" s="32" t="s">
        <v>375</v>
      </c>
      <c r="W14" s="29" t="s">
        <v>376</v>
      </c>
      <c r="X14" s="35" t="s">
        <v>308</v>
      </c>
    </row>
  </sheetData>
  <mergeCells count="2">
    <mergeCell ref="B1:X1"/>
    <mergeCell ref="B2:X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84"/>
  <sheetViews>
    <sheetView showGridLines="0" zoomScaleNormal="100" workbookViewId="0">
      <selection activeCell="O13" sqref="O13"/>
    </sheetView>
  </sheetViews>
  <sheetFormatPr defaultColWidth="8.7109375" defaultRowHeight="15" x14ac:dyDescent="0.25"/>
  <cols>
    <col min="1" max="1" width="2" customWidth="1"/>
    <col min="2" max="2" width="28" customWidth="1"/>
    <col min="3" max="3" width="16" customWidth="1"/>
    <col min="4" max="4" width="12" customWidth="1"/>
    <col min="5" max="8" width="14" customWidth="1"/>
    <col min="9" max="9" width="36" customWidth="1"/>
    <col min="10" max="10" width="2" customWidth="1"/>
  </cols>
  <sheetData>
    <row r="1" spans="2:9" ht="31.5" customHeight="1" x14ac:dyDescent="0.25">
      <c r="B1" s="121" t="s">
        <v>377</v>
      </c>
      <c r="C1" s="121"/>
      <c r="D1" s="121"/>
      <c r="E1" s="121"/>
      <c r="F1" s="121"/>
      <c r="G1" s="121"/>
      <c r="H1" s="121"/>
      <c r="I1" s="121"/>
    </row>
    <row r="2" spans="2:9" ht="24" customHeight="1" x14ac:dyDescent="0.25">
      <c r="B2" s="122" t="s">
        <v>378</v>
      </c>
      <c r="C2" s="122"/>
      <c r="D2" s="122"/>
      <c r="E2" s="122"/>
      <c r="F2" s="122"/>
      <c r="G2" s="122"/>
      <c r="H2" s="122"/>
      <c r="I2" s="122"/>
    </row>
    <row r="3" spans="2:9" ht="7.5" customHeight="1" x14ac:dyDescent="0.25"/>
    <row r="4" spans="2:9" ht="36" customHeight="1" x14ac:dyDescent="0.25">
      <c r="B4" s="36" t="s">
        <v>29</v>
      </c>
      <c r="C4" s="36" t="s">
        <v>379</v>
      </c>
      <c r="D4" s="36" t="s">
        <v>380</v>
      </c>
      <c r="E4" s="36" t="s">
        <v>381</v>
      </c>
      <c r="F4" s="36" t="s">
        <v>382</v>
      </c>
      <c r="G4" s="36" t="s">
        <v>383</v>
      </c>
      <c r="H4" s="36" t="s">
        <v>384</v>
      </c>
      <c r="I4" s="36"/>
    </row>
    <row r="5" spans="2:9" ht="19.5" customHeight="1" x14ac:dyDescent="0.25">
      <c r="B5" s="90" t="s">
        <v>385</v>
      </c>
      <c r="C5" s="90"/>
      <c r="D5" s="90"/>
      <c r="E5" s="90"/>
      <c r="F5" s="90"/>
      <c r="G5" s="90"/>
      <c r="H5" s="90"/>
      <c r="I5" s="90"/>
    </row>
    <row r="6" spans="2:9" ht="24" customHeight="1" x14ac:dyDescent="0.25">
      <c r="B6" s="37" t="s">
        <v>35</v>
      </c>
      <c r="C6" s="38" t="s">
        <v>386</v>
      </c>
      <c r="D6" s="39">
        <f>IF(C6="Low",20,IF(C6="Medium",55,IF(C6="High",85,IF(C6="Unacceptable",100,0))))</f>
        <v>20</v>
      </c>
      <c r="E6" s="40">
        <v>0.3</v>
      </c>
      <c r="F6" s="39">
        <f>D6*E6</f>
        <v>6</v>
      </c>
      <c r="G6" s="41" t="s">
        <v>387</v>
      </c>
      <c r="H6" s="118"/>
      <c r="I6" s="118"/>
    </row>
    <row r="7" spans="2:9" ht="24" customHeight="1" x14ac:dyDescent="0.25">
      <c r="B7" s="42" t="s">
        <v>41</v>
      </c>
      <c r="C7" s="43" t="s">
        <v>386</v>
      </c>
      <c r="D7" s="44">
        <f>IF(C7="Low",20,IF(C7="Medium",55,IF(C7="High",85,IF(C7="Unacceptable",100,0))))</f>
        <v>20</v>
      </c>
      <c r="E7" s="45">
        <v>0.25</v>
      </c>
      <c r="F7" s="44">
        <f>D7*E7</f>
        <v>5</v>
      </c>
      <c r="G7" s="46" t="s">
        <v>388</v>
      </c>
      <c r="H7" s="120"/>
      <c r="I7" s="120"/>
    </row>
    <row r="8" spans="2:9" ht="24" customHeight="1" x14ac:dyDescent="0.25">
      <c r="B8" s="37" t="s">
        <v>47</v>
      </c>
      <c r="C8" s="38" t="s">
        <v>386</v>
      </c>
      <c r="D8" s="39">
        <f>IF(C8="Low",20,IF(C8="Medium",55,IF(C8="High",85,IF(C8="Unacceptable",100,0))))</f>
        <v>20</v>
      </c>
      <c r="E8" s="40">
        <v>0.2</v>
      </c>
      <c r="F8" s="39">
        <f>D8*E8</f>
        <v>4</v>
      </c>
      <c r="G8" s="41" t="s">
        <v>389</v>
      </c>
      <c r="H8" s="118"/>
      <c r="I8" s="118"/>
    </row>
    <row r="9" spans="2:9" ht="24" customHeight="1" x14ac:dyDescent="0.25">
      <c r="B9" s="42" t="s">
        <v>53</v>
      </c>
      <c r="C9" s="43" t="s">
        <v>386</v>
      </c>
      <c r="D9" s="44">
        <f>IF(C9="Low",20,IF(C9="Medium",55,IF(C9="High",85,IF(C9="Unacceptable",100,0))))</f>
        <v>20</v>
      </c>
      <c r="E9" s="45">
        <v>0.15</v>
      </c>
      <c r="F9" s="44">
        <f>D9*E9</f>
        <v>3</v>
      </c>
      <c r="G9" s="46" t="s">
        <v>390</v>
      </c>
      <c r="H9" s="120"/>
      <c r="I9" s="120"/>
    </row>
    <row r="10" spans="2:9" ht="24" customHeight="1" x14ac:dyDescent="0.25">
      <c r="B10" s="37" t="s">
        <v>59</v>
      </c>
      <c r="C10" s="38" t="s">
        <v>386</v>
      </c>
      <c r="D10" s="39">
        <f>IF(C10="Low",20,IF(C10="Medium",55,IF(C10="High",85,IF(C10="Unacceptable",100,0))))</f>
        <v>20</v>
      </c>
      <c r="E10" s="40">
        <v>0.1</v>
      </c>
      <c r="F10" s="39">
        <f>D10*E10</f>
        <v>2</v>
      </c>
      <c r="G10" s="41" t="s">
        <v>391</v>
      </c>
      <c r="H10" s="118"/>
      <c r="I10" s="118"/>
    </row>
    <row r="11" spans="2:9" ht="21.75" customHeight="1" x14ac:dyDescent="0.25">
      <c r="B11" s="1" t="s">
        <v>392</v>
      </c>
      <c r="C11" s="47"/>
      <c r="D11" s="47"/>
      <c r="E11" s="48">
        <f>SUM(F6:F10)</f>
        <v>20</v>
      </c>
      <c r="F11" s="47"/>
      <c r="G11" s="119" t="str">
        <f>IF(E11&gt;=85,"UNACCEPTABLE — Decline / Escalate to CCO",IF(E11&gt;=65,"HIGH RISK — EDD Required | Escalate to VP DD + HRCM",IF(E11&gt;=40,"MEDIUM RISK — Enhanced Monitoring | Notify VP DD","LOW RISK — Standard CDD | Approve at Analyst Level")))</f>
        <v>LOW RISK — Standard CDD | Approve at Analyst Level</v>
      </c>
      <c r="H11" s="119"/>
      <c r="I11" s="119"/>
    </row>
    <row r="12" spans="2:9" ht="7.5" customHeight="1" x14ac:dyDescent="0.25"/>
    <row r="13" spans="2:9" ht="19.5" customHeight="1" x14ac:dyDescent="0.25">
      <c r="B13" s="90" t="s">
        <v>393</v>
      </c>
      <c r="C13" s="90"/>
      <c r="D13" s="90"/>
      <c r="E13" s="90"/>
      <c r="F13" s="90"/>
      <c r="G13" s="90"/>
      <c r="H13" s="90"/>
      <c r="I13" s="90"/>
    </row>
    <row r="14" spans="2:9" ht="24" customHeight="1" x14ac:dyDescent="0.25">
      <c r="B14" s="37" t="s">
        <v>35</v>
      </c>
      <c r="C14" s="38" t="s">
        <v>394</v>
      </c>
      <c r="D14" s="39">
        <f>IF(C14="Low",20,IF(C14="Medium",55,IF(C14="High",85,IF(C14="Unacceptable",100,0))))</f>
        <v>85</v>
      </c>
      <c r="E14" s="40">
        <v>0.3</v>
      </c>
      <c r="F14" s="39">
        <f>D14*E14</f>
        <v>25.5</v>
      </c>
      <c r="G14" s="41" t="s">
        <v>387</v>
      </c>
      <c r="H14" s="118"/>
      <c r="I14" s="118"/>
    </row>
    <row r="15" spans="2:9" ht="24" customHeight="1" x14ac:dyDescent="0.25">
      <c r="B15" s="42" t="s">
        <v>41</v>
      </c>
      <c r="C15" s="43" t="s">
        <v>395</v>
      </c>
      <c r="D15" s="44">
        <f>IF(C15="Low",20,IF(C15="Medium",55,IF(C15="High",85,IF(C15="Unacceptable",100,0))))</f>
        <v>55</v>
      </c>
      <c r="E15" s="45">
        <v>0.25</v>
      </c>
      <c r="F15" s="44">
        <f>D15*E15</f>
        <v>13.75</v>
      </c>
      <c r="G15" s="46" t="s">
        <v>388</v>
      </c>
      <c r="H15" s="120"/>
      <c r="I15" s="120"/>
    </row>
    <row r="16" spans="2:9" ht="24" customHeight="1" x14ac:dyDescent="0.25">
      <c r="B16" s="37" t="s">
        <v>47</v>
      </c>
      <c r="C16" s="38" t="s">
        <v>394</v>
      </c>
      <c r="D16" s="39">
        <f>IF(C16="Low",20,IF(C16="Medium",55,IF(C16="High",85,IF(C16="Unacceptable",100,0))))</f>
        <v>85</v>
      </c>
      <c r="E16" s="40">
        <v>0.2</v>
      </c>
      <c r="F16" s="39">
        <f>D16*E16</f>
        <v>17</v>
      </c>
      <c r="G16" s="41" t="s">
        <v>389</v>
      </c>
      <c r="H16" s="118"/>
      <c r="I16" s="118"/>
    </row>
    <row r="17" spans="2:9" ht="24" customHeight="1" x14ac:dyDescent="0.25">
      <c r="B17" s="42" t="s">
        <v>53</v>
      </c>
      <c r="C17" s="43" t="s">
        <v>395</v>
      </c>
      <c r="D17" s="44">
        <f>IF(C17="Low",20,IF(C17="Medium",55,IF(C17="High",85,IF(C17="Unacceptable",100,0))))</f>
        <v>55</v>
      </c>
      <c r="E17" s="45">
        <v>0.15</v>
      </c>
      <c r="F17" s="44">
        <f>D17*E17</f>
        <v>8.25</v>
      </c>
      <c r="G17" s="46" t="s">
        <v>390</v>
      </c>
      <c r="H17" s="120"/>
      <c r="I17" s="120"/>
    </row>
    <row r="18" spans="2:9" ht="24" customHeight="1" x14ac:dyDescent="0.25">
      <c r="B18" s="37" t="s">
        <v>59</v>
      </c>
      <c r="C18" s="38" t="s">
        <v>386</v>
      </c>
      <c r="D18" s="39">
        <f>IF(C18="Low",20,IF(C18="Medium",55,IF(C18="High",85,IF(C18="Unacceptable",100,0))))</f>
        <v>20</v>
      </c>
      <c r="E18" s="40">
        <v>0.1</v>
      </c>
      <c r="F18" s="39">
        <f>D18*E18</f>
        <v>2</v>
      </c>
      <c r="G18" s="41" t="s">
        <v>391</v>
      </c>
      <c r="H18" s="118"/>
      <c r="I18" s="118"/>
    </row>
    <row r="19" spans="2:9" ht="21.75" customHeight="1" x14ac:dyDescent="0.25">
      <c r="B19" s="1" t="s">
        <v>392</v>
      </c>
      <c r="C19" s="47"/>
      <c r="D19" s="47"/>
      <c r="E19" s="48">
        <f>SUM(F14:F18)</f>
        <v>66.5</v>
      </c>
      <c r="F19" s="47"/>
      <c r="G19" s="119" t="str">
        <f>IF(E19&gt;=85,"UNACCEPTABLE — Decline / Escalate to CCO",IF(E19&gt;=65,"HIGH RISK — EDD Required | Escalate to VP DD + HRCM",IF(E19&gt;=40,"MEDIUM RISK — Enhanced Monitoring | Notify VP DD","LOW RISK — Standard CDD | Approve at Analyst Level")))</f>
        <v>HIGH RISK — EDD Required | Escalate to VP DD + HRCM</v>
      </c>
      <c r="H19" s="119"/>
      <c r="I19" s="119"/>
    </row>
    <row r="20" spans="2:9" ht="7.5" customHeight="1" x14ac:dyDescent="0.25"/>
    <row r="21" spans="2:9" ht="19.5" customHeight="1" x14ac:dyDescent="0.25">
      <c r="B21" s="90" t="s">
        <v>396</v>
      </c>
      <c r="C21" s="90"/>
      <c r="D21" s="90"/>
      <c r="E21" s="90"/>
      <c r="F21" s="90"/>
      <c r="G21" s="90"/>
      <c r="H21" s="90"/>
      <c r="I21" s="90"/>
    </row>
    <row r="22" spans="2:9" ht="24" customHeight="1" x14ac:dyDescent="0.25">
      <c r="B22" s="37" t="s">
        <v>35</v>
      </c>
      <c r="C22" s="38" t="s">
        <v>394</v>
      </c>
      <c r="D22" s="39">
        <f>IF(C22="Low",20,IF(C22="Medium",55,IF(C22="High",85,IF(C22="Unacceptable",100,0))))</f>
        <v>85</v>
      </c>
      <c r="E22" s="40">
        <v>0.3</v>
      </c>
      <c r="F22" s="39">
        <f>D22*E22</f>
        <v>25.5</v>
      </c>
      <c r="G22" s="41" t="s">
        <v>387</v>
      </c>
      <c r="H22" s="118"/>
      <c r="I22" s="118"/>
    </row>
    <row r="23" spans="2:9" ht="24" customHeight="1" x14ac:dyDescent="0.25">
      <c r="B23" s="42" t="s">
        <v>41</v>
      </c>
      <c r="C23" s="43" t="s">
        <v>394</v>
      </c>
      <c r="D23" s="44">
        <f>IF(C23="Low",20,IF(C23="Medium",55,IF(C23="High",85,IF(C23="Unacceptable",100,0))))</f>
        <v>85</v>
      </c>
      <c r="E23" s="45">
        <v>0.25</v>
      </c>
      <c r="F23" s="44">
        <f>D23*E23</f>
        <v>21.25</v>
      </c>
      <c r="G23" s="46" t="s">
        <v>388</v>
      </c>
      <c r="H23" s="120"/>
      <c r="I23" s="120"/>
    </row>
    <row r="24" spans="2:9" ht="24" customHeight="1" x14ac:dyDescent="0.25">
      <c r="B24" s="37" t="s">
        <v>47</v>
      </c>
      <c r="C24" s="38" t="s">
        <v>394</v>
      </c>
      <c r="D24" s="39">
        <f>IF(C24="Low",20,IF(C24="Medium",55,IF(C24="High",85,IF(C24="Unacceptable",100,0))))</f>
        <v>85</v>
      </c>
      <c r="E24" s="40">
        <v>0.2</v>
      </c>
      <c r="F24" s="39">
        <f>D24*E24</f>
        <v>17</v>
      </c>
      <c r="G24" s="41" t="s">
        <v>389</v>
      </c>
      <c r="H24" s="118"/>
      <c r="I24" s="118"/>
    </row>
    <row r="25" spans="2:9" ht="24" customHeight="1" x14ac:dyDescent="0.25">
      <c r="B25" s="42" t="s">
        <v>53</v>
      </c>
      <c r="C25" s="43" t="s">
        <v>394</v>
      </c>
      <c r="D25" s="44">
        <f>IF(C25="Low",20,IF(C25="Medium",55,IF(C25="High",85,IF(C25="Unacceptable",100,0))))</f>
        <v>85</v>
      </c>
      <c r="E25" s="45">
        <v>0.15</v>
      </c>
      <c r="F25" s="44">
        <f>D25*E25</f>
        <v>12.75</v>
      </c>
      <c r="G25" s="46" t="s">
        <v>390</v>
      </c>
      <c r="H25" s="120"/>
      <c r="I25" s="120"/>
    </row>
    <row r="26" spans="2:9" ht="24" customHeight="1" x14ac:dyDescent="0.25">
      <c r="B26" s="37" t="s">
        <v>59</v>
      </c>
      <c r="C26" s="38" t="s">
        <v>395</v>
      </c>
      <c r="D26" s="39">
        <f>IF(C26="Low",20,IF(C26="Medium",55,IF(C26="High",85,IF(C26="Unacceptable",100,0))))</f>
        <v>55</v>
      </c>
      <c r="E26" s="40">
        <v>0.1</v>
      </c>
      <c r="F26" s="39">
        <f>D26*E26</f>
        <v>5.5</v>
      </c>
      <c r="G26" s="41" t="s">
        <v>391</v>
      </c>
      <c r="H26" s="118"/>
      <c r="I26" s="118"/>
    </row>
    <row r="27" spans="2:9" ht="21.75" customHeight="1" x14ac:dyDescent="0.25">
      <c r="B27" s="1" t="s">
        <v>392</v>
      </c>
      <c r="C27" s="47"/>
      <c r="D27" s="47"/>
      <c r="E27" s="48">
        <f>SUM(F22:F26)</f>
        <v>82</v>
      </c>
      <c r="F27" s="47"/>
      <c r="G27" s="119" t="str">
        <f>IF(E27&gt;=85,"UNACCEPTABLE — Decline / Escalate to CCO",IF(E27&gt;=65,"HIGH RISK — EDD Required | Escalate to VP DD + HRCM",IF(E27&gt;=40,"MEDIUM RISK — Enhanced Monitoring | Notify VP DD","LOW RISK — Standard CDD | Approve at Analyst Level")))</f>
        <v>HIGH RISK — EDD Required | Escalate to VP DD + HRCM</v>
      </c>
      <c r="H27" s="119"/>
      <c r="I27" s="119"/>
    </row>
    <row r="28" spans="2:9" ht="7.5" customHeight="1" x14ac:dyDescent="0.25"/>
    <row r="29" spans="2:9" ht="19.5" customHeight="1" x14ac:dyDescent="0.25">
      <c r="B29" s="90" t="s">
        <v>397</v>
      </c>
      <c r="C29" s="90"/>
      <c r="D29" s="90"/>
      <c r="E29" s="90"/>
      <c r="F29" s="90"/>
      <c r="G29" s="90"/>
      <c r="H29" s="90"/>
      <c r="I29" s="90"/>
    </row>
    <row r="30" spans="2:9" ht="24" customHeight="1" x14ac:dyDescent="0.25">
      <c r="B30" s="37" t="s">
        <v>35</v>
      </c>
      <c r="C30" s="38" t="s">
        <v>386</v>
      </c>
      <c r="D30" s="39">
        <f>IF(C30="Low",20,IF(C30="Medium",55,IF(C30="High",85,IF(C30="Unacceptable",100,0))))</f>
        <v>20</v>
      </c>
      <c r="E30" s="40">
        <v>0.3</v>
      </c>
      <c r="F30" s="39">
        <f>D30*E30</f>
        <v>6</v>
      </c>
      <c r="G30" s="41" t="s">
        <v>387</v>
      </c>
      <c r="H30" s="118"/>
      <c r="I30" s="118"/>
    </row>
    <row r="31" spans="2:9" ht="24" customHeight="1" x14ac:dyDescent="0.25">
      <c r="B31" s="42" t="s">
        <v>41</v>
      </c>
      <c r="C31" s="43" t="s">
        <v>394</v>
      </c>
      <c r="D31" s="44">
        <f>IF(C31="Low",20,IF(C31="Medium",55,IF(C31="High",85,IF(C31="Unacceptable",100,0))))</f>
        <v>85</v>
      </c>
      <c r="E31" s="45">
        <v>0.25</v>
      </c>
      <c r="F31" s="44">
        <f>D31*E31</f>
        <v>21.25</v>
      </c>
      <c r="G31" s="46" t="s">
        <v>388</v>
      </c>
      <c r="H31" s="120"/>
      <c r="I31" s="120"/>
    </row>
    <row r="32" spans="2:9" ht="24" customHeight="1" x14ac:dyDescent="0.25">
      <c r="B32" s="37" t="s">
        <v>47</v>
      </c>
      <c r="C32" s="38" t="s">
        <v>395</v>
      </c>
      <c r="D32" s="39">
        <f>IF(C32="Low",20,IF(C32="Medium",55,IF(C32="High",85,IF(C32="Unacceptable",100,0))))</f>
        <v>55</v>
      </c>
      <c r="E32" s="40">
        <v>0.2</v>
      </c>
      <c r="F32" s="39">
        <f>D32*E32</f>
        <v>11</v>
      </c>
      <c r="G32" s="41" t="s">
        <v>389</v>
      </c>
      <c r="H32" s="118"/>
      <c r="I32" s="118"/>
    </row>
    <row r="33" spans="2:9" ht="24" customHeight="1" x14ac:dyDescent="0.25">
      <c r="B33" s="42" t="s">
        <v>53</v>
      </c>
      <c r="C33" s="43" t="s">
        <v>386</v>
      </c>
      <c r="D33" s="44">
        <f>IF(C33="Low",20,IF(C33="Medium",55,IF(C33="High",85,IF(C33="Unacceptable",100,0))))</f>
        <v>20</v>
      </c>
      <c r="E33" s="45">
        <v>0.15</v>
      </c>
      <c r="F33" s="44">
        <f>D33*E33</f>
        <v>3</v>
      </c>
      <c r="G33" s="46" t="s">
        <v>390</v>
      </c>
      <c r="H33" s="120"/>
      <c r="I33" s="120"/>
    </row>
    <row r="34" spans="2:9" ht="24" customHeight="1" x14ac:dyDescent="0.25">
      <c r="B34" s="37" t="s">
        <v>59</v>
      </c>
      <c r="C34" s="38" t="s">
        <v>386</v>
      </c>
      <c r="D34" s="39">
        <f>IF(C34="Low",20,IF(C34="Medium",55,IF(C34="High",85,IF(C34="Unacceptable",100,0))))</f>
        <v>20</v>
      </c>
      <c r="E34" s="40">
        <v>0.1</v>
      </c>
      <c r="F34" s="39">
        <f>D34*E34</f>
        <v>2</v>
      </c>
      <c r="G34" s="41" t="s">
        <v>391</v>
      </c>
      <c r="H34" s="118"/>
      <c r="I34" s="118"/>
    </row>
    <row r="35" spans="2:9" ht="21.75" customHeight="1" x14ac:dyDescent="0.25">
      <c r="B35" s="1" t="s">
        <v>392</v>
      </c>
      <c r="C35" s="47"/>
      <c r="D35" s="47"/>
      <c r="E35" s="48">
        <f>SUM(F30:F34)</f>
        <v>43.25</v>
      </c>
      <c r="F35" s="47"/>
      <c r="G35" s="119" t="str">
        <f>IF(E35&gt;=85,"UNACCEPTABLE — Decline / Escalate to CCO",IF(E35&gt;=65,"HIGH RISK — EDD Required | Escalate to VP DD + HRCM",IF(E35&gt;=40,"MEDIUM RISK — Enhanced Monitoring | Notify VP DD","LOW RISK — Standard CDD | Approve at Analyst Level")))</f>
        <v>MEDIUM RISK — Enhanced Monitoring | Notify VP DD</v>
      </c>
      <c r="H35" s="119"/>
      <c r="I35" s="119"/>
    </row>
    <row r="36" spans="2:9" ht="7.5" customHeight="1" x14ac:dyDescent="0.25"/>
    <row r="37" spans="2:9" ht="19.5" customHeight="1" x14ac:dyDescent="0.25">
      <c r="B37" s="90" t="s">
        <v>398</v>
      </c>
      <c r="C37" s="90"/>
      <c r="D37" s="90"/>
      <c r="E37" s="90"/>
      <c r="F37" s="90"/>
      <c r="G37" s="90"/>
      <c r="H37" s="90"/>
      <c r="I37" s="90"/>
    </row>
    <row r="38" spans="2:9" ht="24" customHeight="1" x14ac:dyDescent="0.25">
      <c r="B38" s="37" t="s">
        <v>35</v>
      </c>
      <c r="C38" s="38" t="s">
        <v>394</v>
      </c>
      <c r="D38" s="39">
        <f>IF(C38="Low",20,IF(C38="Medium",55,IF(C38="High",85,IF(C38="Unacceptable",100,0))))</f>
        <v>85</v>
      </c>
      <c r="E38" s="40">
        <v>0.3</v>
      </c>
      <c r="F38" s="39">
        <f>D38*E38</f>
        <v>25.5</v>
      </c>
      <c r="G38" s="41" t="s">
        <v>387</v>
      </c>
      <c r="H38" s="118"/>
      <c r="I38" s="118"/>
    </row>
    <row r="39" spans="2:9" ht="24" customHeight="1" x14ac:dyDescent="0.25">
      <c r="B39" s="42" t="s">
        <v>41</v>
      </c>
      <c r="C39" s="43" t="s">
        <v>394</v>
      </c>
      <c r="D39" s="44">
        <f>IF(C39="Low",20,IF(C39="Medium",55,IF(C39="High",85,IF(C39="Unacceptable",100,0))))</f>
        <v>85</v>
      </c>
      <c r="E39" s="45">
        <v>0.25</v>
      </c>
      <c r="F39" s="44">
        <f>D39*E39</f>
        <v>21.25</v>
      </c>
      <c r="G39" s="46" t="s">
        <v>388</v>
      </c>
      <c r="H39" s="120"/>
      <c r="I39" s="120"/>
    </row>
    <row r="40" spans="2:9" ht="24" customHeight="1" x14ac:dyDescent="0.25">
      <c r="B40" s="37" t="s">
        <v>47</v>
      </c>
      <c r="C40" s="38" t="s">
        <v>394</v>
      </c>
      <c r="D40" s="39">
        <f>IF(C40="Low",20,IF(C40="Medium",55,IF(C40="High",85,IF(C40="Unacceptable",100,0))))</f>
        <v>85</v>
      </c>
      <c r="E40" s="40">
        <v>0.2</v>
      </c>
      <c r="F40" s="39">
        <f>D40*E40</f>
        <v>17</v>
      </c>
      <c r="G40" s="41" t="s">
        <v>389</v>
      </c>
      <c r="H40" s="118"/>
      <c r="I40" s="118"/>
    </row>
    <row r="41" spans="2:9" ht="24" customHeight="1" x14ac:dyDescent="0.25">
      <c r="B41" s="42" t="s">
        <v>53</v>
      </c>
      <c r="C41" s="43" t="s">
        <v>394</v>
      </c>
      <c r="D41" s="44">
        <f>IF(C41="Low",20,IF(C41="Medium",55,IF(C41="High",85,IF(C41="Unacceptable",100,0))))</f>
        <v>85</v>
      </c>
      <c r="E41" s="45">
        <v>0.15</v>
      </c>
      <c r="F41" s="44">
        <f>D41*E41</f>
        <v>12.75</v>
      </c>
      <c r="G41" s="46" t="s">
        <v>390</v>
      </c>
      <c r="H41" s="120"/>
      <c r="I41" s="120"/>
    </row>
    <row r="42" spans="2:9" ht="24" customHeight="1" x14ac:dyDescent="0.25">
      <c r="B42" s="37" t="s">
        <v>59</v>
      </c>
      <c r="C42" s="38" t="s">
        <v>394</v>
      </c>
      <c r="D42" s="39">
        <f>IF(C42="Low",20,IF(C42="Medium",55,IF(C42="High",85,IF(C42="Unacceptable",100,0))))</f>
        <v>85</v>
      </c>
      <c r="E42" s="40">
        <v>0.1</v>
      </c>
      <c r="F42" s="39">
        <f>D42*E42</f>
        <v>8.5</v>
      </c>
      <c r="G42" s="41" t="s">
        <v>391</v>
      </c>
      <c r="H42" s="118"/>
      <c r="I42" s="118"/>
    </row>
    <row r="43" spans="2:9" ht="21.75" customHeight="1" x14ac:dyDescent="0.25">
      <c r="B43" s="1" t="s">
        <v>392</v>
      </c>
      <c r="C43" s="47"/>
      <c r="D43" s="47"/>
      <c r="E43" s="48">
        <f>SUM(F38:F42)</f>
        <v>85</v>
      </c>
      <c r="F43" s="47"/>
      <c r="G43" s="119" t="str">
        <f>IF(E43&gt;=85,"UNACCEPTABLE — Decline / Escalate to CCO",IF(E43&gt;=65,"HIGH RISK — EDD Required | Escalate to VP DD + HRCM",IF(E43&gt;=40,"MEDIUM RISK — Enhanced Monitoring | Notify VP DD","LOW RISK — Standard CDD | Approve at Analyst Level")))</f>
        <v>UNACCEPTABLE — Decline / Escalate to CCO</v>
      </c>
      <c r="H43" s="119"/>
      <c r="I43" s="119"/>
    </row>
    <row r="44" spans="2:9" ht="7.5" customHeight="1" x14ac:dyDescent="0.25"/>
    <row r="45" spans="2:9" ht="19.5" customHeight="1" x14ac:dyDescent="0.25">
      <c r="B45" s="90" t="s">
        <v>399</v>
      </c>
      <c r="C45" s="90"/>
      <c r="D45" s="90"/>
      <c r="E45" s="90"/>
      <c r="F45" s="90"/>
      <c r="G45" s="90"/>
      <c r="H45" s="90"/>
      <c r="I45" s="90"/>
    </row>
    <row r="46" spans="2:9" ht="24" customHeight="1" x14ac:dyDescent="0.25">
      <c r="B46" s="37" t="s">
        <v>35</v>
      </c>
      <c r="C46" s="38" t="s">
        <v>386</v>
      </c>
      <c r="D46" s="39">
        <f>IF(C46="Low",20,IF(C46="Medium",55,IF(C46="High",85,IF(C46="Unacceptable",100,0))))</f>
        <v>20</v>
      </c>
      <c r="E46" s="40">
        <v>0.3</v>
      </c>
      <c r="F46" s="39">
        <f>D46*E46</f>
        <v>6</v>
      </c>
      <c r="G46" s="41" t="s">
        <v>387</v>
      </c>
      <c r="H46" s="118"/>
      <c r="I46" s="118"/>
    </row>
    <row r="47" spans="2:9" ht="24" customHeight="1" x14ac:dyDescent="0.25">
      <c r="B47" s="42" t="s">
        <v>41</v>
      </c>
      <c r="C47" s="43" t="s">
        <v>395</v>
      </c>
      <c r="D47" s="44">
        <f>IF(C47="Low",20,IF(C47="Medium",55,IF(C47="High",85,IF(C47="Unacceptable",100,0))))</f>
        <v>55</v>
      </c>
      <c r="E47" s="45">
        <v>0.25</v>
      </c>
      <c r="F47" s="44">
        <f>D47*E47</f>
        <v>13.75</v>
      </c>
      <c r="G47" s="46" t="s">
        <v>388</v>
      </c>
      <c r="H47" s="120"/>
      <c r="I47" s="120"/>
    </row>
    <row r="48" spans="2:9" ht="24" customHeight="1" x14ac:dyDescent="0.25">
      <c r="B48" s="37" t="s">
        <v>47</v>
      </c>
      <c r="C48" s="38" t="s">
        <v>386</v>
      </c>
      <c r="D48" s="39">
        <f>IF(C48="Low",20,IF(C48="Medium",55,IF(C48="High",85,IF(C48="Unacceptable",100,0))))</f>
        <v>20</v>
      </c>
      <c r="E48" s="40">
        <v>0.2</v>
      </c>
      <c r="F48" s="39">
        <f>D48*E48</f>
        <v>4</v>
      </c>
      <c r="G48" s="41" t="s">
        <v>389</v>
      </c>
      <c r="H48" s="118"/>
      <c r="I48" s="118"/>
    </row>
    <row r="49" spans="2:9" ht="24" customHeight="1" x14ac:dyDescent="0.25">
      <c r="B49" s="42" t="s">
        <v>53</v>
      </c>
      <c r="C49" s="43" t="s">
        <v>386</v>
      </c>
      <c r="D49" s="44">
        <f>IF(C49="Low",20,IF(C49="Medium",55,IF(C49="High",85,IF(C49="Unacceptable",100,0))))</f>
        <v>20</v>
      </c>
      <c r="E49" s="45">
        <v>0.15</v>
      </c>
      <c r="F49" s="44">
        <f>D49*E49</f>
        <v>3</v>
      </c>
      <c r="G49" s="46" t="s">
        <v>390</v>
      </c>
      <c r="H49" s="120"/>
      <c r="I49" s="120"/>
    </row>
    <row r="50" spans="2:9" ht="24" customHeight="1" x14ac:dyDescent="0.25">
      <c r="B50" s="37" t="s">
        <v>59</v>
      </c>
      <c r="C50" s="38" t="s">
        <v>386</v>
      </c>
      <c r="D50" s="39">
        <f>IF(C50="Low",20,IF(C50="Medium",55,IF(C50="High",85,IF(C50="Unacceptable",100,0))))</f>
        <v>20</v>
      </c>
      <c r="E50" s="40">
        <v>0.1</v>
      </c>
      <c r="F50" s="39">
        <f>D50*E50</f>
        <v>2</v>
      </c>
      <c r="G50" s="41" t="s">
        <v>391</v>
      </c>
      <c r="H50" s="118"/>
      <c r="I50" s="118"/>
    </row>
    <row r="51" spans="2:9" ht="21.75" customHeight="1" x14ac:dyDescent="0.25">
      <c r="B51" s="1" t="s">
        <v>392</v>
      </c>
      <c r="C51" s="47"/>
      <c r="D51" s="47"/>
      <c r="E51" s="48">
        <f>SUM(F46:F50)</f>
        <v>28.75</v>
      </c>
      <c r="F51" s="47"/>
      <c r="G51" s="119" t="str">
        <f>IF(E51&gt;=85,"UNACCEPTABLE — Decline / Escalate to CCO",IF(E51&gt;=65,"HIGH RISK — EDD Required | Escalate to VP DD + HRCM",IF(E51&gt;=40,"MEDIUM RISK — Enhanced Monitoring | Notify VP DD","LOW RISK — Standard CDD | Approve at Analyst Level")))</f>
        <v>LOW RISK — Standard CDD | Approve at Analyst Level</v>
      </c>
      <c r="H51" s="119"/>
      <c r="I51" s="119"/>
    </row>
    <row r="52" spans="2:9" ht="7.5" customHeight="1" x14ac:dyDescent="0.25"/>
    <row r="53" spans="2:9" ht="19.5" customHeight="1" x14ac:dyDescent="0.25">
      <c r="B53" s="90" t="s">
        <v>400</v>
      </c>
      <c r="C53" s="90"/>
      <c r="D53" s="90"/>
      <c r="E53" s="90"/>
      <c r="F53" s="90"/>
      <c r="G53" s="90"/>
      <c r="H53" s="90"/>
      <c r="I53" s="90"/>
    </row>
    <row r="54" spans="2:9" ht="24" customHeight="1" x14ac:dyDescent="0.25">
      <c r="B54" s="37" t="s">
        <v>35</v>
      </c>
      <c r="C54" s="38" t="s">
        <v>395</v>
      </c>
      <c r="D54" s="39">
        <f>IF(C54="Low",20,IF(C54="Medium",55,IF(C54="High",85,IF(C54="Unacceptable",100,0))))</f>
        <v>55</v>
      </c>
      <c r="E54" s="40">
        <v>0.3</v>
      </c>
      <c r="F54" s="39">
        <f>D54*E54</f>
        <v>16.5</v>
      </c>
      <c r="G54" s="41" t="s">
        <v>387</v>
      </c>
      <c r="H54" s="118"/>
      <c r="I54" s="118"/>
    </row>
    <row r="55" spans="2:9" ht="24" customHeight="1" x14ac:dyDescent="0.25">
      <c r="B55" s="42" t="s">
        <v>41</v>
      </c>
      <c r="C55" s="43" t="s">
        <v>394</v>
      </c>
      <c r="D55" s="44">
        <f>IF(C55="Low",20,IF(C55="Medium",55,IF(C55="High",85,IF(C55="Unacceptable",100,0))))</f>
        <v>85</v>
      </c>
      <c r="E55" s="45">
        <v>0.25</v>
      </c>
      <c r="F55" s="44">
        <f>D55*E55</f>
        <v>21.25</v>
      </c>
      <c r="G55" s="46" t="s">
        <v>388</v>
      </c>
      <c r="H55" s="120"/>
      <c r="I55" s="120"/>
    </row>
    <row r="56" spans="2:9" ht="24" customHeight="1" x14ac:dyDescent="0.25">
      <c r="B56" s="37" t="s">
        <v>47</v>
      </c>
      <c r="C56" s="38" t="s">
        <v>394</v>
      </c>
      <c r="D56" s="39">
        <f>IF(C56="Low",20,IF(C56="Medium",55,IF(C56="High",85,IF(C56="Unacceptable",100,0))))</f>
        <v>85</v>
      </c>
      <c r="E56" s="40">
        <v>0.2</v>
      </c>
      <c r="F56" s="39">
        <f>D56*E56</f>
        <v>17</v>
      </c>
      <c r="G56" s="41" t="s">
        <v>389</v>
      </c>
      <c r="H56" s="118"/>
      <c r="I56" s="118"/>
    </row>
    <row r="57" spans="2:9" ht="24" customHeight="1" x14ac:dyDescent="0.25">
      <c r="B57" s="42" t="s">
        <v>53</v>
      </c>
      <c r="C57" s="43" t="s">
        <v>394</v>
      </c>
      <c r="D57" s="44">
        <f>IF(C57="Low",20,IF(C57="Medium",55,IF(C57="High",85,IF(C57="Unacceptable",100,0))))</f>
        <v>85</v>
      </c>
      <c r="E57" s="45">
        <v>0.15</v>
      </c>
      <c r="F57" s="44">
        <f>D57*E57</f>
        <v>12.75</v>
      </c>
      <c r="G57" s="46" t="s">
        <v>390</v>
      </c>
      <c r="H57" s="120"/>
      <c r="I57" s="120"/>
    </row>
    <row r="58" spans="2:9" ht="24" customHeight="1" x14ac:dyDescent="0.25">
      <c r="B58" s="37" t="s">
        <v>59</v>
      </c>
      <c r="C58" s="38" t="s">
        <v>386</v>
      </c>
      <c r="D58" s="39">
        <f>IF(C58="Low",20,IF(C58="Medium",55,IF(C58="High",85,IF(C58="Unacceptable",100,0))))</f>
        <v>20</v>
      </c>
      <c r="E58" s="40">
        <v>0.1</v>
      </c>
      <c r="F58" s="39">
        <f>D58*E58</f>
        <v>2</v>
      </c>
      <c r="G58" s="41" t="s">
        <v>391</v>
      </c>
      <c r="H58" s="118"/>
      <c r="I58" s="118"/>
    </row>
    <row r="59" spans="2:9" ht="21.75" customHeight="1" x14ac:dyDescent="0.25">
      <c r="B59" s="1" t="s">
        <v>392</v>
      </c>
      <c r="C59" s="47"/>
      <c r="D59" s="47"/>
      <c r="E59" s="48">
        <f>SUM(F54:F58)</f>
        <v>69.5</v>
      </c>
      <c r="F59" s="47"/>
      <c r="G59" s="119" t="str">
        <f>IF(E59&gt;=85,"UNACCEPTABLE — Decline / Escalate to CCO",IF(E59&gt;=65,"HIGH RISK — EDD Required | Escalate to VP DD + HRCM",IF(E59&gt;=40,"MEDIUM RISK — Enhanced Monitoring | Notify VP DD","LOW RISK — Standard CDD | Approve at Analyst Level")))</f>
        <v>HIGH RISK — EDD Required | Escalate to VP DD + HRCM</v>
      </c>
      <c r="H59" s="119"/>
      <c r="I59" s="119"/>
    </row>
    <row r="60" spans="2:9" ht="7.5" customHeight="1" x14ac:dyDescent="0.25"/>
    <row r="61" spans="2:9" ht="19.5" customHeight="1" x14ac:dyDescent="0.25">
      <c r="B61" s="90" t="s">
        <v>401</v>
      </c>
      <c r="C61" s="90"/>
      <c r="D61" s="90"/>
      <c r="E61" s="90"/>
      <c r="F61" s="90"/>
      <c r="G61" s="90"/>
      <c r="H61" s="90"/>
      <c r="I61" s="90"/>
    </row>
    <row r="62" spans="2:9" ht="24" customHeight="1" x14ac:dyDescent="0.25">
      <c r="B62" s="37" t="s">
        <v>35</v>
      </c>
      <c r="C62" s="38" t="s">
        <v>386</v>
      </c>
      <c r="D62" s="39">
        <f>IF(C62="Low",20,IF(C62="Medium",55,IF(C62="High",85,IF(C62="Unacceptable",100,0))))</f>
        <v>20</v>
      </c>
      <c r="E62" s="40">
        <v>0.3</v>
      </c>
      <c r="F62" s="39">
        <f>D62*E62</f>
        <v>6</v>
      </c>
      <c r="G62" s="41" t="s">
        <v>387</v>
      </c>
      <c r="H62" s="118"/>
      <c r="I62" s="118"/>
    </row>
    <row r="63" spans="2:9" ht="24" customHeight="1" x14ac:dyDescent="0.25">
      <c r="B63" s="42" t="s">
        <v>41</v>
      </c>
      <c r="C63" s="43" t="s">
        <v>386</v>
      </c>
      <c r="D63" s="44">
        <f>IF(C63="Low",20,IF(C63="Medium",55,IF(C63="High",85,IF(C63="Unacceptable",100,0))))</f>
        <v>20</v>
      </c>
      <c r="E63" s="45">
        <v>0.25</v>
      </c>
      <c r="F63" s="44">
        <f>D63*E63</f>
        <v>5</v>
      </c>
      <c r="G63" s="46" t="s">
        <v>388</v>
      </c>
      <c r="H63" s="120"/>
      <c r="I63" s="120"/>
    </row>
    <row r="64" spans="2:9" ht="24" customHeight="1" x14ac:dyDescent="0.25">
      <c r="B64" s="37" t="s">
        <v>47</v>
      </c>
      <c r="C64" s="38" t="s">
        <v>386</v>
      </c>
      <c r="D64" s="39">
        <f>IF(C64="Low",20,IF(C64="Medium",55,IF(C64="High",85,IF(C64="Unacceptable",100,0))))</f>
        <v>20</v>
      </c>
      <c r="E64" s="40">
        <v>0.2</v>
      </c>
      <c r="F64" s="39">
        <f>D64*E64</f>
        <v>4</v>
      </c>
      <c r="G64" s="41" t="s">
        <v>389</v>
      </c>
      <c r="H64" s="118"/>
      <c r="I64" s="118"/>
    </row>
    <row r="65" spans="2:9" ht="24" customHeight="1" x14ac:dyDescent="0.25">
      <c r="B65" s="42" t="s">
        <v>53</v>
      </c>
      <c r="C65" s="43" t="s">
        <v>386</v>
      </c>
      <c r="D65" s="44">
        <f>IF(C65="Low",20,IF(C65="Medium",55,IF(C65="High",85,IF(C65="Unacceptable",100,0))))</f>
        <v>20</v>
      </c>
      <c r="E65" s="45">
        <v>0.15</v>
      </c>
      <c r="F65" s="44">
        <f>D65*E65</f>
        <v>3</v>
      </c>
      <c r="G65" s="46" t="s">
        <v>390</v>
      </c>
      <c r="H65" s="120"/>
      <c r="I65" s="120"/>
    </row>
    <row r="66" spans="2:9" ht="24" customHeight="1" x14ac:dyDescent="0.25">
      <c r="B66" s="37" t="s">
        <v>59</v>
      </c>
      <c r="C66" s="38" t="s">
        <v>386</v>
      </c>
      <c r="D66" s="39">
        <f>IF(C66="Low",20,IF(C66="Medium",55,IF(C66="High",85,IF(C66="Unacceptable",100,0))))</f>
        <v>20</v>
      </c>
      <c r="E66" s="40">
        <v>0.1</v>
      </c>
      <c r="F66" s="39">
        <f>D66*E66</f>
        <v>2</v>
      </c>
      <c r="G66" s="41" t="s">
        <v>391</v>
      </c>
      <c r="H66" s="118"/>
      <c r="I66" s="118"/>
    </row>
    <row r="67" spans="2:9" ht="21.75" customHeight="1" x14ac:dyDescent="0.25">
      <c r="B67" s="1" t="s">
        <v>392</v>
      </c>
      <c r="C67" s="47"/>
      <c r="D67" s="47"/>
      <c r="E67" s="48">
        <f>SUM(F62:F66)</f>
        <v>20</v>
      </c>
      <c r="F67" s="47"/>
      <c r="G67" s="119" t="str">
        <f>IF(E67&gt;=85,"UNACCEPTABLE — Decline / Escalate to CCO",IF(E67&gt;=65,"HIGH RISK — EDD Required | Escalate to VP DD + HRCM",IF(E67&gt;=40,"MEDIUM RISK — Enhanced Monitoring | Notify VP DD","LOW RISK — Standard CDD | Approve at Analyst Level")))</f>
        <v>LOW RISK — Standard CDD | Approve at Analyst Level</v>
      </c>
      <c r="H67" s="119"/>
      <c r="I67" s="119"/>
    </row>
    <row r="68" spans="2:9" ht="7.5" customHeight="1" x14ac:dyDescent="0.25"/>
    <row r="69" spans="2:9" ht="19.5" customHeight="1" x14ac:dyDescent="0.25">
      <c r="B69" s="90" t="s">
        <v>402</v>
      </c>
      <c r="C69" s="90"/>
      <c r="D69" s="90"/>
      <c r="E69" s="90"/>
      <c r="F69" s="90"/>
      <c r="G69" s="90"/>
      <c r="H69" s="90"/>
      <c r="I69" s="90"/>
    </row>
    <row r="70" spans="2:9" ht="24" customHeight="1" x14ac:dyDescent="0.25">
      <c r="B70" s="37" t="s">
        <v>35</v>
      </c>
      <c r="C70" s="38" t="s">
        <v>395</v>
      </c>
      <c r="D70" s="39">
        <f>IF(C70="Low",20,IF(C70="Medium",55,IF(C70="High",85,IF(C70="Unacceptable",100,0))))</f>
        <v>55</v>
      </c>
      <c r="E70" s="40">
        <v>0.3</v>
      </c>
      <c r="F70" s="39">
        <f>D70*E70</f>
        <v>16.5</v>
      </c>
      <c r="G70" s="41" t="s">
        <v>387</v>
      </c>
      <c r="H70" s="118"/>
      <c r="I70" s="118"/>
    </row>
    <row r="71" spans="2:9" ht="24" customHeight="1" x14ac:dyDescent="0.25">
      <c r="B71" s="42" t="s">
        <v>41</v>
      </c>
      <c r="C71" s="43" t="s">
        <v>394</v>
      </c>
      <c r="D71" s="44">
        <f>IF(C71="Low",20,IF(C71="Medium",55,IF(C71="High",85,IF(C71="Unacceptable",100,0))))</f>
        <v>85</v>
      </c>
      <c r="E71" s="45">
        <v>0.25</v>
      </c>
      <c r="F71" s="44">
        <f>D71*E71</f>
        <v>21.25</v>
      </c>
      <c r="G71" s="46" t="s">
        <v>388</v>
      </c>
      <c r="H71" s="120"/>
      <c r="I71" s="120"/>
    </row>
    <row r="72" spans="2:9" ht="24" customHeight="1" x14ac:dyDescent="0.25">
      <c r="B72" s="37" t="s">
        <v>47</v>
      </c>
      <c r="C72" s="38" t="s">
        <v>394</v>
      </c>
      <c r="D72" s="39">
        <f>IF(C72="Low",20,IF(C72="Medium",55,IF(C72="High",85,IF(C72="Unacceptable",100,0))))</f>
        <v>85</v>
      </c>
      <c r="E72" s="40">
        <v>0.2</v>
      </c>
      <c r="F72" s="39">
        <f>D72*E72</f>
        <v>17</v>
      </c>
      <c r="G72" s="41" t="s">
        <v>389</v>
      </c>
      <c r="H72" s="118"/>
      <c r="I72" s="118"/>
    </row>
    <row r="73" spans="2:9" ht="24" customHeight="1" x14ac:dyDescent="0.25">
      <c r="B73" s="42" t="s">
        <v>53</v>
      </c>
      <c r="C73" s="43" t="s">
        <v>395</v>
      </c>
      <c r="D73" s="44">
        <f>IF(C73="Low",20,IF(C73="Medium",55,IF(C73="High",85,IF(C73="Unacceptable",100,0))))</f>
        <v>55</v>
      </c>
      <c r="E73" s="45">
        <v>0.15</v>
      </c>
      <c r="F73" s="44">
        <f>D73*E73</f>
        <v>8.25</v>
      </c>
      <c r="G73" s="46" t="s">
        <v>390</v>
      </c>
      <c r="H73" s="120"/>
      <c r="I73" s="120"/>
    </row>
    <row r="74" spans="2:9" ht="24" customHeight="1" x14ac:dyDescent="0.25">
      <c r="B74" s="37" t="s">
        <v>59</v>
      </c>
      <c r="C74" s="38" t="s">
        <v>386</v>
      </c>
      <c r="D74" s="39">
        <f>IF(C74="Low",20,IF(C74="Medium",55,IF(C74="High",85,IF(C74="Unacceptable",100,0))))</f>
        <v>20</v>
      </c>
      <c r="E74" s="40">
        <v>0.1</v>
      </c>
      <c r="F74" s="39">
        <f>D74*E74</f>
        <v>2</v>
      </c>
      <c r="G74" s="41" t="s">
        <v>391</v>
      </c>
      <c r="H74" s="118"/>
      <c r="I74" s="118"/>
    </row>
    <row r="75" spans="2:9" ht="21.75" customHeight="1" x14ac:dyDescent="0.25">
      <c r="B75" s="1" t="s">
        <v>392</v>
      </c>
      <c r="C75" s="47"/>
      <c r="D75" s="47"/>
      <c r="E75" s="48">
        <f>SUM(F70:F74)</f>
        <v>65</v>
      </c>
      <c r="F75" s="47"/>
      <c r="G75" s="119" t="str">
        <f>IF(E75&gt;=85,"UNACCEPTABLE — Decline / Escalate to CCO",IF(E75&gt;=65,"HIGH RISK — EDD Required | Escalate to VP DD + HRCM",IF(E75&gt;=40,"MEDIUM RISK — Enhanced Monitoring | Notify VP DD","LOW RISK — Standard CDD | Approve at Analyst Level")))</f>
        <v>HIGH RISK — EDD Required | Escalate to VP DD + HRCM</v>
      </c>
      <c r="H75" s="119"/>
      <c r="I75" s="119"/>
    </row>
    <row r="76" spans="2:9" ht="7.5" customHeight="1" x14ac:dyDescent="0.25"/>
    <row r="77" spans="2:9" ht="19.5" customHeight="1" x14ac:dyDescent="0.25">
      <c r="B77" s="90" t="s">
        <v>403</v>
      </c>
      <c r="C77" s="90"/>
      <c r="D77" s="90"/>
      <c r="E77" s="90"/>
      <c r="F77" s="90"/>
      <c r="G77" s="90"/>
      <c r="H77" s="90"/>
      <c r="I77" s="90"/>
    </row>
    <row r="78" spans="2:9" ht="24" customHeight="1" x14ac:dyDescent="0.25">
      <c r="B78" s="37" t="s">
        <v>35</v>
      </c>
      <c r="C78" s="38" t="s">
        <v>395</v>
      </c>
      <c r="D78" s="39">
        <f>IF(C78="Low",20,IF(C78="Medium",55,IF(C78="High",85,IF(C78="Unacceptable",100,0))))</f>
        <v>55</v>
      </c>
      <c r="E78" s="40">
        <v>0.3</v>
      </c>
      <c r="F78" s="39">
        <f>D78*E78</f>
        <v>16.5</v>
      </c>
      <c r="G78" s="41" t="s">
        <v>387</v>
      </c>
      <c r="H78" s="118"/>
      <c r="I78" s="118"/>
    </row>
    <row r="79" spans="2:9" ht="24" customHeight="1" x14ac:dyDescent="0.25">
      <c r="B79" s="42" t="s">
        <v>41</v>
      </c>
      <c r="C79" s="43" t="s">
        <v>394</v>
      </c>
      <c r="D79" s="44">
        <f>IF(C79="Low",20,IF(C79="Medium",55,IF(C79="High",85,IF(C79="Unacceptable",100,0))))</f>
        <v>85</v>
      </c>
      <c r="E79" s="45">
        <v>0.25</v>
      </c>
      <c r="F79" s="44">
        <f>D79*E79</f>
        <v>21.25</v>
      </c>
      <c r="G79" s="46" t="s">
        <v>388</v>
      </c>
      <c r="H79" s="120"/>
      <c r="I79" s="120"/>
    </row>
    <row r="80" spans="2:9" ht="24" customHeight="1" x14ac:dyDescent="0.25">
      <c r="B80" s="37" t="s">
        <v>47</v>
      </c>
      <c r="C80" s="38" t="s">
        <v>394</v>
      </c>
      <c r="D80" s="39">
        <f>IF(C80="Low",20,IF(C80="Medium",55,IF(C80="High",85,IF(C80="Unacceptable",100,0))))</f>
        <v>85</v>
      </c>
      <c r="E80" s="40">
        <v>0.2</v>
      </c>
      <c r="F80" s="39">
        <f>D80*E80</f>
        <v>17</v>
      </c>
      <c r="G80" s="41" t="s">
        <v>389</v>
      </c>
      <c r="H80" s="118"/>
      <c r="I80" s="118"/>
    </row>
    <row r="81" spans="2:9" ht="24" customHeight="1" x14ac:dyDescent="0.25">
      <c r="B81" s="42" t="s">
        <v>53</v>
      </c>
      <c r="C81" s="43" t="s">
        <v>395</v>
      </c>
      <c r="D81" s="44">
        <f>IF(C81="Low",20,IF(C81="Medium",55,IF(C81="High",85,IF(C81="Unacceptable",100,0))))</f>
        <v>55</v>
      </c>
      <c r="E81" s="45">
        <v>0.15</v>
      </c>
      <c r="F81" s="44">
        <f>D81*E81</f>
        <v>8.25</v>
      </c>
      <c r="G81" s="46" t="s">
        <v>390</v>
      </c>
      <c r="H81" s="120"/>
      <c r="I81" s="120"/>
    </row>
    <row r="82" spans="2:9" ht="24" customHeight="1" x14ac:dyDescent="0.25">
      <c r="B82" s="37" t="s">
        <v>59</v>
      </c>
      <c r="C82" s="38" t="s">
        <v>394</v>
      </c>
      <c r="D82" s="39">
        <f>IF(C82="Low",20,IF(C82="Medium",55,IF(C82="High",85,IF(C82="Unacceptable",100,0))))</f>
        <v>85</v>
      </c>
      <c r="E82" s="40">
        <v>0.1</v>
      </c>
      <c r="F82" s="39">
        <f>D82*E82</f>
        <v>8.5</v>
      </c>
      <c r="G82" s="41" t="s">
        <v>391</v>
      </c>
      <c r="H82" s="118"/>
      <c r="I82" s="118"/>
    </row>
    <row r="83" spans="2:9" ht="21.75" customHeight="1" x14ac:dyDescent="0.25">
      <c r="B83" s="1" t="s">
        <v>392</v>
      </c>
      <c r="C83" s="47"/>
      <c r="D83" s="47"/>
      <c r="E83" s="48">
        <f>SUM(F78:F82)</f>
        <v>71.5</v>
      </c>
      <c r="F83" s="47"/>
      <c r="G83" s="119" t="str">
        <f>IF(E83&gt;=85,"UNACCEPTABLE — Decline / Escalate to CCO",IF(E83&gt;=65,"HIGH RISK — EDD Required | Escalate to VP DD + HRCM",IF(E83&gt;=40,"MEDIUM RISK — Enhanced Monitoring | Notify VP DD","LOW RISK — Standard CDD | Approve at Analyst Level")))</f>
        <v>HIGH RISK — EDD Required | Escalate to VP DD + HRCM</v>
      </c>
      <c r="H83" s="119"/>
      <c r="I83" s="119"/>
    </row>
    <row r="84" spans="2:9" ht="7.5" customHeight="1" x14ac:dyDescent="0.25"/>
  </sheetData>
  <mergeCells count="72">
    <mergeCell ref="B1:I1"/>
    <mergeCell ref="B2:I2"/>
    <mergeCell ref="B5:I5"/>
    <mergeCell ref="H6:I6"/>
    <mergeCell ref="H7:I7"/>
    <mergeCell ref="H8:I8"/>
    <mergeCell ref="H9:I9"/>
    <mergeCell ref="H10:I10"/>
    <mergeCell ref="G11:I11"/>
    <mergeCell ref="B13:I13"/>
    <mergeCell ref="H14:I14"/>
    <mergeCell ref="H15:I15"/>
    <mergeCell ref="H16:I16"/>
    <mergeCell ref="H17:I17"/>
    <mergeCell ref="H18:I18"/>
    <mergeCell ref="G19:I19"/>
    <mergeCell ref="B21:I21"/>
    <mergeCell ref="H22:I22"/>
    <mergeCell ref="H23:I23"/>
    <mergeCell ref="H24:I24"/>
    <mergeCell ref="H25:I25"/>
    <mergeCell ref="H26:I26"/>
    <mergeCell ref="G27:I27"/>
    <mergeCell ref="B29:I29"/>
    <mergeCell ref="H30:I30"/>
    <mergeCell ref="H31:I31"/>
    <mergeCell ref="H32:I32"/>
    <mergeCell ref="H33:I33"/>
    <mergeCell ref="H34:I34"/>
    <mergeCell ref="G35:I35"/>
    <mergeCell ref="B37:I37"/>
    <mergeCell ref="H38:I38"/>
    <mergeCell ref="H39:I39"/>
    <mergeCell ref="H40:I40"/>
    <mergeCell ref="H41:I41"/>
    <mergeCell ref="H42:I42"/>
    <mergeCell ref="G43:I43"/>
    <mergeCell ref="B45:I45"/>
    <mergeCell ref="H46:I46"/>
    <mergeCell ref="H47:I47"/>
    <mergeCell ref="H48:I48"/>
    <mergeCell ref="H49:I49"/>
    <mergeCell ref="H50:I50"/>
    <mergeCell ref="G51:I51"/>
    <mergeCell ref="B53:I53"/>
    <mergeCell ref="H54:I54"/>
    <mergeCell ref="H55:I55"/>
    <mergeCell ref="H56:I56"/>
    <mergeCell ref="H57:I57"/>
    <mergeCell ref="H58:I58"/>
    <mergeCell ref="G59:I59"/>
    <mergeCell ref="B61:I61"/>
    <mergeCell ref="H62:I62"/>
    <mergeCell ref="H63:I63"/>
    <mergeCell ref="H64:I64"/>
    <mergeCell ref="H65:I65"/>
    <mergeCell ref="H66:I66"/>
    <mergeCell ref="G67:I67"/>
    <mergeCell ref="B69:I69"/>
    <mergeCell ref="H70:I70"/>
    <mergeCell ref="H71:I71"/>
    <mergeCell ref="H72:I72"/>
    <mergeCell ref="H73:I73"/>
    <mergeCell ref="H74:I74"/>
    <mergeCell ref="G75:I75"/>
    <mergeCell ref="H82:I82"/>
    <mergeCell ref="G83:I83"/>
    <mergeCell ref="B77:I77"/>
    <mergeCell ref="H78:I78"/>
    <mergeCell ref="H79:I79"/>
    <mergeCell ref="H80:I80"/>
    <mergeCell ref="H81:I81"/>
  </mergeCells>
  <dataValidations count="1">
    <dataValidation type="list" showErrorMessage="1" sqref="C6:C10 C14:C18 C22:C26 C30:C34 C38:C42 C46:C50 C54:C58 C62:C66 C70:C74 C78:C82" xr:uid="{00000000-0002-0000-0300-000000000000}">
      <formula1>"Low,Medium,High,Unacceptable"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8" customWidth="1"/>
    <col min="3" max="3" width="32" customWidth="1"/>
    <col min="4" max="5" width="14" customWidth="1"/>
    <col min="6" max="6" width="20" customWidth="1"/>
    <col min="7" max="8" width="22" customWidth="1"/>
    <col min="9" max="9" width="28" customWidth="1"/>
    <col min="10" max="10" width="2" customWidth="1"/>
  </cols>
  <sheetData>
    <row r="1" spans="2:9" ht="30" customHeight="1" x14ac:dyDescent="0.25">
      <c r="B1" s="116" t="s">
        <v>404</v>
      </c>
      <c r="C1" s="116"/>
      <c r="D1" s="116"/>
      <c r="E1" s="116"/>
      <c r="F1" s="116"/>
      <c r="G1" s="116"/>
      <c r="H1" s="116"/>
      <c r="I1" s="116"/>
    </row>
    <row r="2" spans="2:9" ht="21.75" customHeight="1" x14ac:dyDescent="0.25">
      <c r="B2" s="122" t="s">
        <v>405</v>
      </c>
      <c r="C2" s="122"/>
      <c r="D2" s="122"/>
      <c r="E2" s="122"/>
      <c r="F2" s="122"/>
      <c r="G2" s="122"/>
      <c r="H2" s="122"/>
      <c r="I2" s="122"/>
    </row>
    <row r="3" spans="2:9" ht="7.5" customHeight="1" x14ac:dyDescent="0.25"/>
    <row r="4" spans="2:9" ht="33.75" customHeight="1" x14ac:dyDescent="0.25">
      <c r="B4" s="36" t="s">
        <v>406</v>
      </c>
      <c r="C4" s="36" t="s">
        <v>407</v>
      </c>
      <c r="D4" s="36" t="s">
        <v>408</v>
      </c>
      <c r="E4" s="36" t="s">
        <v>409</v>
      </c>
      <c r="F4" s="36" t="s">
        <v>410</v>
      </c>
      <c r="G4" s="36" t="s">
        <v>411</v>
      </c>
      <c r="H4" s="36" t="s">
        <v>412</v>
      </c>
      <c r="I4" s="36" t="s">
        <v>413</v>
      </c>
    </row>
    <row r="5" spans="2:9" ht="51.75" customHeight="1" x14ac:dyDescent="0.25">
      <c r="B5" s="49" t="s">
        <v>414</v>
      </c>
      <c r="C5" s="26" t="s">
        <v>415</v>
      </c>
      <c r="D5" s="11" t="s">
        <v>416</v>
      </c>
      <c r="E5" s="49" t="s">
        <v>233</v>
      </c>
      <c r="F5" s="26" t="s">
        <v>417</v>
      </c>
      <c r="G5" s="49" t="s">
        <v>418</v>
      </c>
      <c r="H5" s="26" t="s">
        <v>419</v>
      </c>
      <c r="I5" s="26" t="s">
        <v>420</v>
      </c>
    </row>
    <row r="6" spans="2:9" ht="51.75" customHeight="1" x14ac:dyDescent="0.25">
      <c r="B6" s="50" t="s">
        <v>421</v>
      </c>
      <c r="C6" s="28" t="s">
        <v>422</v>
      </c>
      <c r="D6" s="12" t="s">
        <v>423</v>
      </c>
      <c r="E6" s="50" t="s">
        <v>250</v>
      </c>
      <c r="F6" s="28" t="s">
        <v>424</v>
      </c>
      <c r="G6" s="50" t="s">
        <v>425</v>
      </c>
      <c r="H6" s="28" t="s">
        <v>426</v>
      </c>
      <c r="I6" s="28" t="s">
        <v>427</v>
      </c>
    </row>
    <row r="7" spans="2:9" ht="51.75" customHeight="1" x14ac:dyDescent="0.25">
      <c r="B7" s="49" t="s">
        <v>428</v>
      </c>
      <c r="C7" s="26" t="s">
        <v>429</v>
      </c>
      <c r="D7" s="13" t="s">
        <v>430</v>
      </c>
      <c r="E7" s="49" t="s">
        <v>270</v>
      </c>
      <c r="F7" s="26" t="s">
        <v>431</v>
      </c>
      <c r="G7" s="49" t="s">
        <v>432</v>
      </c>
      <c r="H7" s="26" t="s">
        <v>433</v>
      </c>
      <c r="I7" s="26" t="s">
        <v>434</v>
      </c>
    </row>
    <row r="8" spans="2:9" ht="51.75" customHeight="1" x14ac:dyDescent="0.25">
      <c r="B8" s="50" t="s">
        <v>435</v>
      </c>
      <c r="C8" s="28" t="s">
        <v>436</v>
      </c>
      <c r="D8" s="12" t="s">
        <v>437</v>
      </c>
      <c r="E8" s="50" t="s">
        <v>250</v>
      </c>
      <c r="F8" s="28" t="s">
        <v>438</v>
      </c>
      <c r="G8" s="50" t="s">
        <v>425</v>
      </c>
      <c r="H8" s="28" t="s">
        <v>439</v>
      </c>
      <c r="I8" s="28" t="s">
        <v>440</v>
      </c>
    </row>
    <row r="9" spans="2:9" ht="51.75" customHeight="1" x14ac:dyDescent="0.25">
      <c r="B9" s="49" t="s">
        <v>441</v>
      </c>
      <c r="C9" s="26" t="s">
        <v>442</v>
      </c>
      <c r="D9" s="14" t="s">
        <v>443</v>
      </c>
      <c r="E9" s="49" t="s">
        <v>308</v>
      </c>
      <c r="F9" s="26" t="s">
        <v>444</v>
      </c>
      <c r="G9" s="49" t="s">
        <v>317</v>
      </c>
      <c r="H9" s="26" t="s">
        <v>445</v>
      </c>
      <c r="I9" s="26" t="s">
        <v>446</v>
      </c>
    </row>
    <row r="10" spans="2:9" ht="51.75" customHeight="1" x14ac:dyDescent="0.25">
      <c r="B10" s="50" t="s">
        <v>447</v>
      </c>
      <c r="C10" s="28" t="s">
        <v>448</v>
      </c>
      <c r="D10" s="11" t="s">
        <v>449</v>
      </c>
      <c r="E10" s="50" t="s">
        <v>233</v>
      </c>
      <c r="F10" s="28" t="s">
        <v>450</v>
      </c>
      <c r="G10" s="50" t="s">
        <v>418</v>
      </c>
      <c r="H10" s="28" t="s">
        <v>451</v>
      </c>
      <c r="I10" s="28" t="s">
        <v>452</v>
      </c>
    </row>
    <row r="11" spans="2:9" ht="51.75" customHeight="1" x14ac:dyDescent="0.25">
      <c r="B11" s="49" t="s">
        <v>453</v>
      </c>
      <c r="C11" s="26" t="s">
        <v>454</v>
      </c>
      <c r="D11" s="13" t="s">
        <v>455</v>
      </c>
      <c r="E11" s="49" t="s">
        <v>270</v>
      </c>
      <c r="F11" s="26" t="s">
        <v>456</v>
      </c>
      <c r="G11" s="49" t="s">
        <v>432</v>
      </c>
      <c r="H11" s="26" t="s">
        <v>457</v>
      </c>
      <c r="I11" s="26" t="s">
        <v>458</v>
      </c>
    </row>
    <row r="12" spans="2:9" ht="51.75" customHeight="1" x14ac:dyDescent="0.25">
      <c r="B12" s="50" t="s">
        <v>459</v>
      </c>
      <c r="C12" s="28" t="s">
        <v>460</v>
      </c>
      <c r="D12" s="11" t="s">
        <v>416</v>
      </c>
      <c r="E12" s="50" t="s">
        <v>233</v>
      </c>
      <c r="F12" s="28" t="s">
        <v>461</v>
      </c>
      <c r="G12" s="50" t="s">
        <v>418</v>
      </c>
      <c r="H12" s="28" t="s">
        <v>462</v>
      </c>
      <c r="I12" s="28" t="s">
        <v>463</v>
      </c>
    </row>
    <row r="13" spans="2:9" ht="51.75" customHeight="1" x14ac:dyDescent="0.25">
      <c r="B13" s="49" t="s">
        <v>464</v>
      </c>
      <c r="C13" s="26" t="s">
        <v>465</v>
      </c>
      <c r="D13" s="13" t="s">
        <v>466</v>
      </c>
      <c r="E13" s="49" t="s">
        <v>270</v>
      </c>
      <c r="F13" s="26" t="s">
        <v>467</v>
      </c>
      <c r="G13" s="49" t="s">
        <v>432</v>
      </c>
      <c r="H13" s="26" t="s">
        <v>468</v>
      </c>
      <c r="I13" s="26" t="s">
        <v>469</v>
      </c>
    </row>
    <row r="14" spans="2:9" ht="51.75" customHeight="1" x14ac:dyDescent="0.25">
      <c r="B14" s="50" t="s">
        <v>470</v>
      </c>
      <c r="C14" s="28" t="s">
        <v>471</v>
      </c>
      <c r="D14" s="14" t="s">
        <v>472</v>
      </c>
      <c r="E14" s="50" t="s">
        <v>308</v>
      </c>
      <c r="F14" s="28" t="s">
        <v>473</v>
      </c>
      <c r="G14" s="50" t="s">
        <v>317</v>
      </c>
      <c r="H14" s="28" t="s">
        <v>474</v>
      </c>
      <c r="I14" s="28" t="s">
        <v>475</v>
      </c>
    </row>
  </sheetData>
  <mergeCells count="2">
    <mergeCell ref="B1:I1"/>
    <mergeCell ref="B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8" customWidth="1"/>
    <col min="3" max="3" width="32" customWidth="1"/>
    <col min="4" max="4" width="14" customWidth="1"/>
    <col min="5" max="6" width="16" customWidth="1"/>
    <col min="7" max="7" width="22" customWidth="1"/>
    <col min="8" max="8" width="26" customWidth="1"/>
    <col min="9" max="9" width="22" customWidth="1"/>
    <col min="10" max="10" width="18" customWidth="1"/>
    <col min="11" max="11" width="28" customWidth="1"/>
  </cols>
  <sheetData>
    <row r="1" spans="2:11" ht="30" customHeight="1" x14ac:dyDescent="0.25">
      <c r="B1" s="116" t="s">
        <v>476</v>
      </c>
      <c r="C1" s="116"/>
      <c r="D1" s="116"/>
      <c r="E1" s="116"/>
      <c r="F1" s="116"/>
      <c r="G1" s="116"/>
      <c r="H1" s="116"/>
      <c r="I1" s="116"/>
      <c r="J1" s="116"/>
    </row>
    <row r="2" spans="2:11" ht="36" customHeight="1" x14ac:dyDescent="0.25">
      <c r="B2" s="123" t="s">
        <v>477</v>
      </c>
      <c r="C2" s="123"/>
      <c r="D2" s="123"/>
      <c r="E2" s="123"/>
      <c r="F2" s="123"/>
      <c r="G2" s="123"/>
      <c r="H2" s="123"/>
      <c r="I2" s="123"/>
      <c r="J2" s="123"/>
    </row>
    <row r="3" spans="2:11" ht="7.5" customHeight="1" x14ac:dyDescent="0.25"/>
    <row r="4" spans="2:11" ht="36" customHeight="1" x14ac:dyDescent="0.25">
      <c r="B4" s="36" t="s">
        <v>406</v>
      </c>
      <c r="C4" s="36" t="s">
        <v>478</v>
      </c>
      <c r="D4" s="36" t="s">
        <v>479</v>
      </c>
      <c r="E4" s="36" t="s">
        <v>480</v>
      </c>
      <c r="F4" s="36" t="s">
        <v>481</v>
      </c>
      <c r="G4" s="36" t="s">
        <v>482</v>
      </c>
      <c r="H4" s="36" t="s">
        <v>483</v>
      </c>
      <c r="I4" s="36" t="s">
        <v>484</v>
      </c>
      <c r="J4" s="36" t="s">
        <v>485</v>
      </c>
      <c r="K4" s="36" t="s">
        <v>486</v>
      </c>
    </row>
    <row r="5" spans="2:11" ht="51.75" customHeight="1" x14ac:dyDescent="0.25">
      <c r="B5" s="49" t="s">
        <v>414</v>
      </c>
      <c r="C5" s="26" t="s">
        <v>415</v>
      </c>
      <c r="D5" s="11" t="s">
        <v>487</v>
      </c>
      <c r="E5" s="26" t="s">
        <v>488</v>
      </c>
      <c r="F5" s="26" t="s">
        <v>488</v>
      </c>
      <c r="G5" s="26" t="s">
        <v>489</v>
      </c>
      <c r="H5" s="51">
        <v>293</v>
      </c>
      <c r="I5" s="52" t="s">
        <v>490</v>
      </c>
      <c r="J5" s="53" t="s">
        <v>489</v>
      </c>
      <c r="K5" s="26" t="s">
        <v>491</v>
      </c>
    </row>
    <row r="6" spans="2:11" ht="51.75" customHeight="1" x14ac:dyDescent="0.25">
      <c r="B6" s="50" t="s">
        <v>421</v>
      </c>
      <c r="C6" s="28" t="s">
        <v>422</v>
      </c>
      <c r="D6" s="12" t="s">
        <v>492</v>
      </c>
      <c r="E6" s="28" t="s">
        <v>493</v>
      </c>
      <c r="F6" s="28" t="s">
        <v>493</v>
      </c>
      <c r="G6" s="28" t="s">
        <v>494</v>
      </c>
      <c r="H6" s="54">
        <v>0</v>
      </c>
      <c r="I6" s="52" t="s">
        <v>495</v>
      </c>
      <c r="J6" s="53" t="s">
        <v>494</v>
      </c>
      <c r="K6" s="34" t="s">
        <v>496</v>
      </c>
    </row>
    <row r="7" spans="2:11" ht="51.75" customHeight="1" x14ac:dyDescent="0.25">
      <c r="B7" s="49" t="s">
        <v>428</v>
      </c>
      <c r="C7" s="26" t="s">
        <v>429</v>
      </c>
      <c r="D7" s="13" t="s">
        <v>497</v>
      </c>
      <c r="E7" s="26" t="s">
        <v>498</v>
      </c>
      <c r="F7" s="26" t="s">
        <v>498</v>
      </c>
      <c r="G7" s="26" t="s">
        <v>499</v>
      </c>
      <c r="H7" s="51">
        <v>0</v>
      </c>
      <c r="I7" s="31" t="s">
        <v>500</v>
      </c>
      <c r="J7" s="53" t="s">
        <v>499</v>
      </c>
      <c r="K7" s="34" t="s">
        <v>501</v>
      </c>
    </row>
    <row r="8" spans="2:11" ht="51.75" customHeight="1" x14ac:dyDescent="0.25">
      <c r="B8" s="50" t="s">
        <v>435</v>
      </c>
      <c r="C8" s="28" t="s">
        <v>436</v>
      </c>
      <c r="D8" s="12" t="s">
        <v>492</v>
      </c>
      <c r="E8" s="28" t="s">
        <v>502</v>
      </c>
      <c r="F8" s="28" t="s">
        <v>503</v>
      </c>
      <c r="G8" s="28" t="s">
        <v>504</v>
      </c>
      <c r="H8" s="54">
        <v>43</v>
      </c>
      <c r="I8" s="52" t="s">
        <v>505</v>
      </c>
      <c r="J8" s="53" t="s">
        <v>504</v>
      </c>
      <c r="K8" s="34" t="s">
        <v>496</v>
      </c>
    </row>
    <row r="9" spans="2:11" ht="51.75" customHeight="1" x14ac:dyDescent="0.25">
      <c r="B9" s="49" t="s">
        <v>441</v>
      </c>
      <c r="C9" s="26" t="s">
        <v>442</v>
      </c>
      <c r="D9" s="14" t="s">
        <v>308</v>
      </c>
      <c r="E9" s="26" t="s">
        <v>506</v>
      </c>
      <c r="F9" s="26" t="s">
        <v>317</v>
      </c>
      <c r="G9" s="26" t="s">
        <v>317</v>
      </c>
      <c r="H9" s="55" t="s">
        <v>317</v>
      </c>
      <c r="I9" s="31" t="s">
        <v>507</v>
      </c>
      <c r="J9" s="53" t="s">
        <v>317</v>
      </c>
      <c r="K9" s="56" t="s">
        <v>508</v>
      </c>
    </row>
    <row r="10" spans="2:11" ht="51.75" customHeight="1" x14ac:dyDescent="0.25">
      <c r="B10" s="50" t="s">
        <v>447</v>
      </c>
      <c r="C10" s="28" t="s">
        <v>448</v>
      </c>
      <c r="D10" s="11" t="s">
        <v>487</v>
      </c>
      <c r="E10" s="28" t="s">
        <v>509</v>
      </c>
      <c r="F10" s="28" t="s">
        <v>510</v>
      </c>
      <c r="G10" s="28" t="s">
        <v>511</v>
      </c>
      <c r="H10" s="54">
        <v>522</v>
      </c>
      <c r="I10" s="34" t="s">
        <v>512</v>
      </c>
      <c r="J10" s="53" t="s">
        <v>511</v>
      </c>
      <c r="K10" s="28" t="s">
        <v>513</v>
      </c>
    </row>
    <row r="11" spans="2:11" ht="51.75" customHeight="1" x14ac:dyDescent="0.25">
      <c r="B11" s="49" t="s">
        <v>453</v>
      </c>
      <c r="C11" s="26" t="s">
        <v>454</v>
      </c>
      <c r="D11" s="13" t="s">
        <v>497</v>
      </c>
      <c r="E11" s="26" t="s">
        <v>514</v>
      </c>
      <c r="F11" s="26" t="s">
        <v>514</v>
      </c>
      <c r="G11" s="26" t="s">
        <v>515</v>
      </c>
      <c r="H11" s="51">
        <v>0</v>
      </c>
      <c r="I11" s="31" t="s">
        <v>516</v>
      </c>
      <c r="J11" s="53" t="s">
        <v>515</v>
      </c>
      <c r="K11" s="34" t="s">
        <v>517</v>
      </c>
    </row>
    <row r="12" spans="2:11" ht="51.75" customHeight="1" x14ac:dyDescent="0.25">
      <c r="B12" s="50" t="s">
        <v>459</v>
      </c>
      <c r="C12" s="28" t="s">
        <v>460</v>
      </c>
      <c r="D12" s="11" t="s">
        <v>487</v>
      </c>
      <c r="E12" s="28" t="s">
        <v>518</v>
      </c>
      <c r="F12" s="28" t="s">
        <v>518</v>
      </c>
      <c r="G12" s="28" t="s">
        <v>519</v>
      </c>
      <c r="H12" s="54">
        <v>300</v>
      </c>
      <c r="I12" s="52" t="s">
        <v>490</v>
      </c>
      <c r="J12" s="53" t="s">
        <v>519</v>
      </c>
      <c r="K12" s="28" t="s">
        <v>491</v>
      </c>
    </row>
    <row r="13" spans="2:11" ht="51.75" customHeight="1" x14ac:dyDescent="0.25">
      <c r="B13" s="49" t="s">
        <v>464</v>
      </c>
      <c r="C13" s="26" t="s">
        <v>465</v>
      </c>
      <c r="D13" s="13" t="s">
        <v>497</v>
      </c>
      <c r="E13" s="26" t="s">
        <v>520</v>
      </c>
      <c r="F13" s="26" t="s">
        <v>520</v>
      </c>
      <c r="G13" s="26" t="s">
        <v>521</v>
      </c>
      <c r="H13" s="51">
        <v>0</v>
      </c>
      <c r="I13" s="34" t="s">
        <v>522</v>
      </c>
      <c r="J13" s="53" t="s">
        <v>521</v>
      </c>
      <c r="K13" s="34" t="s">
        <v>496</v>
      </c>
    </row>
    <row r="14" spans="2:11" ht="51.75" customHeight="1" x14ac:dyDescent="0.25">
      <c r="B14" s="50" t="s">
        <v>470</v>
      </c>
      <c r="C14" s="28" t="s">
        <v>471</v>
      </c>
      <c r="D14" s="14" t="s">
        <v>308</v>
      </c>
      <c r="E14" s="28" t="s">
        <v>506</v>
      </c>
      <c r="F14" s="28" t="s">
        <v>317</v>
      </c>
      <c r="G14" s="28" t="s">
        <v>317</v>
      </c>
      <c r="H14" s="57" t="s">
        <v>317</v>
      </c>
      <c r="I14" s="31" t="s">
        <v>523</v>
      </c>
      <c r="J14" s="53" t="s">
        <v>317</v>
      </c>
      <c r="K14" s="56" t="s">
        <v>508</v>
      </c>
    </row>
  </sheetData>
  <mergeCells count="2">
    <mergeCell ref="B1:J1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26"/>
  <sheetViews>
    <sheetView showGridLines="0" tabSelected="1" zoomScaleNormal="100" workbookViewId="0">
      <selection activeCell="T11" sqref="T11"/>
    </sheetView>
  </sheetViews>
  <sheetFormatPr defaultColWidth="8.7109375" defaultRowHeight="15" x14ac:dyDescent="0.25"/>
  <cols>
    <col min="1" max="1" width="2" customWidth="1"/>
    <col min="2" max="2" width="28.85546875" bestFit="1" customWidth="1"/>
    <col min="3" max="8" width="18" customWidth="1"/>
    <col min="9" max="9" width="2" customWidth="1"/>
  </cols>
  <sheetData>
    <row r="1" spans="2:8" ht="33.75" customHeight="1" x14ac:dyDescent="0.25">
      <c r="B1" s="88" t="s">
        <v>524</v>
      </c>
      <c r="C1" s="88"/>
      <c r="D1" s="88"/>
      <c r="E1" s="88"/>
      <c r="F1" s="88"/>
      <c r="G1" s="88"/>
      <c r="H1" s="88"/>
    </row>
    <row r="2" spans="2:8" ht="19.5" customHeight="1" x14ac:dyDescent="0.25">
      <c r="B2" s="89" t="s">
        <v>525</v>
      </c>
      <c r="C2" s="89"/>
      <c r="D2" s="89"/>
      <c r="E2" s="89"/>
      <c r="F2" s="89"/>
      <c r="G2" s="89"/>
      <c r="H2" s="89"/>
    </row>
    <row r="3" spans="2:8" ht="9.75" customHeight="1" x14ac:dyDescent="0.25"/>
    <row r="4" spans="2:8" ht="18" customHeight="1" x14ac:dyDescent="0.25">
      <c r="B4" s="18" t="s">
        <v>526</v>
      </c>
      <c r="C4" s="58" t="s">
        <v>527</v>
      </c>
      <c r="D4" s="59" t="s">
        <v>528</v>
      </c>
      <c r="E4" s="24" t="s">
        <v>529</v>
      </c>
      <c r="F4" s="60" t="s">
        <v>530</v>
      </c>
      <c r="G4" s="23" t="s">
        <v>531</v>
      </c>
      <c r="H4" s="61" t="s">
        <v>532</v>
      </c>
    </row>
    <row r="5" spans="2:8" ht="33.75" customHeight="1" x14ac:dyDescent="0.25">
      <c r="B5" s="62">
        <v>10</v>
      </c>
      <c r="C5" s="63">
        <v>3</v>
      </c>
      <c r="D5" s="64">
        <v>2</v>
      </c>
      <c r="E5" s="65">
        <v>3</v>
      </c>
      <c r="F5" s="66">
        <v>2</v>
      </c>
      <c r="G5" s="67">
        <v>3</v>
      </c>
      <c r="H5" s="68">
        <v>2</v>
      </c>
    </row>
    <row r="6" spans="2:8" ht="18" customHeight="1" x14ac:dyDescent="0.25">
      <c r="B6" s="69"/>
      <c r="C6" s="70"/>
      <c r="D6" s="71"/>
      <c r="E6" s="72"/>
      <c r="F6" s="73"/>
      <c r="G6" s="74"/>
      <c r="H6" s="75"/>
    </row>
    <row r="7" spans="2:8" ht="12" customHeight="1" x14ac:dyDescent="0.25"/>
    <row r="8" spans="2:8" ht="19.5" customHeight="1" x14ac:dyDescent="0.25">
      <c r="B8" s="90" t="s">
        <v>533</v>
      </c>
      <c r="C8" s="90"/>
      <c r="D8" s="90"/>
      <c r="E8" s="90"/>
      <c r="F8" s="90"/>
      <c r="G8" s="90"/>
      <c r="H8" s="90"/>
    </row>
    <row r="9" spans="2:8" ht="21.75" customHeight="1" x14ac:dyDescent="0.25">
      <c r="B9" s="25" t="s">
        <v>409</v>
      </c>
      <c r="C9" s="25" t="s">
        <v>534</v>
      </c>
      <c r="D9" s="25" t="s">
        <v>535</v>
      </c>
      <c r="E9" s="25" t="s">
        <v>536</v>
      </c>
      <c r="F9" s="25" t="s">
        <v>537</v>
      </c>
      <c r="G9" s="25" t="s">
        <v>412</v>
      </c>
      <c r="H9" s="25" t="s">
        <v>538</v>
      </c>
    </row>
    <row r="10" spans="2:8" ht="27.75" customHeight="1" x14ac:dyDescent="0.25">
      <c r="B10" s="11" t="s">
        <v>233</v>
      </c>
      <c r="C10" s="52">
        <v>3</v>
      </c>
      <c r="D10" s="52" t="s">
        <v>355</v>
      </c>
      <c r="E10" s="52" t="s">
        <v>418</v>
      </c>
      <c r="F10" s="52" t="s">
        <v>539</v>
      </c>
      <c r="G10" s="52" t="s">
        <v>540</v>
      </c>
      <c r="H10" s="52" t="s">
        <v>541</v>
      </c>
    </row>
    <row r="11" spans="2:8" ht="27.75" customHeight="1" x14ac:dyDescent="0.25">
      <c r="B11" s="12" t="s">
        <v>250</v>
      </c>
      <c r="C11" s="29">
        <v>2</v>
      </c>
      <c r="D11" s="29" t="s">
        <v>542</v>
      </c>
      <c r="E11" s="29" t="s">
        <v>425</v>
      </c>
      <c r="F11" s="29" t="s">
        <v>543</v>
      </c>
      <c r="G11" s="29" t="s">
        <v>544</v>
      </c>
      <c r="H11" s="29" t="s">
        <v>545</v>
      </c>
    </row>
    <row r="12" spans="2:8" ht="27.75" customHeight="1" x14ac:dyDescent="0.25">
      <c r="B12" s="13" t="s">
        <v>270</v>
      </c>
      <c r="C12" s="76">
        <v>3</v>
      </c>
      <c r="D12" s="76" t="s">
        <v>355</v>
      </c>
      <c r="E12" s="76" t="s">
        <v>432</v>
      </c>
      <c r="F12" s="76" t="s">
        <v>546</v>
      </c>
      <c r="G12" s="76" t="s">
        <v>547</v>
      </c>
      <c r="H12" s="76" t="s">
        <v>548</v>
      </c>
    </row>
    <row r="13" spans="2:8" ht="27.75" customHeight="1" x14ac:dyDescent="0.25">
      <c r="B13" s="14" t="s">
        <v>308</v>
      </c>
      <c r="C13" s="77">
        <v>2</v>
      </c>
      <c r="D13" s="77" t="s">
        <v>542</v>
      </c>
      <c r="E13" s="77" t="s">
        <v>549</v>
      </c>
      <c r="F13" s="77" t="s">
        <v>550</v>
      </c>
      <c r="G13" s="77" t="s">
        <v>551</v>
      </c>
      <c r="H13" s="77" t="s">
        <v>552</v>
      </c>
    </row>
    <row r="14" spans="2:8" ht="12" customHeight="1" x14ac:dyDescent="0.25"/>
    <row r="15" spans="2:8" ht="19.5" customHeight="1" x14ac:dyDescent="0.25">
      <c r="B15" s="91" t="s">
        <v>553</v>
      </c>
      <c r="C15" s="91"/>
      <c r="D15" s="91"/>
      <c r="E15" s="91"/>
      <c r="F15" s="91"/>
      <c r="G15" s="91"/>
      <c r="H15" s="91"/>
    </row>
    <row r="16" spans="2:8" ht="21.75" customHeight="1" x14ac:dyDescent="0.25">
      <c r="B16" s="78" t="s">
        <v>554</v>
      </c>
      <c r="C16" s="92" t="s">
        <v>555</v>
      </c>
      <c r="D16" s="92"/>
      <c r="E16" s="92"/>
      <c r="F16" s="92"/>
      <c r="G16" s="92"/>
      <c r="H16" s="92"/>
    </row>
    <row r="17" spans="2:8" ht="21.75" customHeight="1" x14ac:dyDescent="0.25">
      <c r="B17" s="79" t="s">
        <v>556</v>
      </c>
      <c r="C17" s="84" t="s">
        <v>557</v>
      </c>
      <c r="D17" s="84"/>
      <c r="E17" s="84"/>
      <c r="F17" s="84"/>
      <c r="G17" s="84"/>
      <c r="H17" s="84"/>
    </row>
    <row r="18" spans="2:8" ht="21.75" customHeight="1" x14ac:dyDescent="0.25">
      <c r="B18" s="80" t="s">
        <v>558</v>
      </c>
      <c r="C18" s="85" t="s">
        <v>559</v>
      </c>
      <c r="D18" s="85"/>
      <c r="E18" s="85"/>
      <c r="F18" s="85"/>
      <c r="G18" s="85"/>
      <c r="H18" s="85"/>
    </row>
    <row r="19" spans="2:8" ht="21.75" customHeight="1" x14ac:dyDescent="0.25">
      <c r="B19" s="81" t="s">
        <v>560</v>
      </c>
      <c r="C19" s="86" t="s">
        <v>561</v>
      </c>
      <c r="D19" s="86"/>
      <c r="E19" s="86"/>
      <c r="F19" s="86"/>
      <c r="G19" s="86"/>
      <c r="H19" s="86"/>
    </row>
    <row r="20" spans="2:8" ht="12" customHeight="1" x14ac:dyDescent="0.25"/>
    <row r="21" spans="2:8" ht="15" customHeight="1" x14ac:dyDescent="0.25">
      <c r="B21" s="82" t="s">
        <v>409</v>
      </c>
      <c r="C21" s="82" t="s">
        <v>562</v>
      </c>
    </row>
    <row r="22" spans="2:8" ht="15" customHeight="1" x14ac:dyDescent="0.25">
      <c r="B22" s="83" t="s">
        <v>527</v>
      </c>
      <c r="C22" s="83">
        <v>3</v>
      </c>
    </row>
    <row r="23" spans="2:8" ht="15" customHeight="1" x14ac:dyDescent="0.25">
      <c r="B23" s="83" t="s">
        <v>528</v>
      </c>
      <c r="C23" s="83">
        <v>2</v>
      </c>
    </row>
    <row r="24" spans="2:8" ht="15" customHeight="1" x14ac:dyDescent="0.25">
      <c r="B24" s="83" t="s">
        <v>529</v>
      </c>
      <c r="C24" s="83">
        <v>3</v>
      </c>
    </row>
    <row r="25" spans="2:8" ht="15" customHeight="1" x14ac:dyDescent="0.25">
      <c r="B25" s="83" t="s">
        <v>530</v>
      </c>
      <c r="C25" s="83">
        <v>2</v>
      </c>
    </row>
    <row r="26" spans="2:8" ht="15.75" customHeight="1" x14ac:dyDescent="0.25">
      <c r="B26" s="87" t="s">
        <v>563</v>
      </c>
      <c r="C26" s="87"/>
      <c r="D26" s="87"/>
      <c r="E26" s="87"/>
      <c r="F26" s="87"/>
      <c r="G26" s="87"/>
      <c r="H26" s="87"/>
    </row>
  </sheetData>
  <mergeCells count="9">
    <mergeCell ref="C17:H17"/>
    <mergeCell ref="C18:H18"/>
    <mergeCell ref="C19:H19"/>
    <mergeCell ref="B26:H26"/>
    <mergeCell ref="B1:H1"/>
    <mergeCell ref="B2:H2"/>
    <mergeCell ref="B8:H8"/>
    <mergeCell ref="B15:H15"/>
    <mergeCell ref="C16:H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Documentation</vt:lpstr>
      <vt:lpstr>📊 FINTRAC Guidelines</vt:lpstr>
      <vt:lpstr>🗃️ Client Dataset</vt:lpstr>
      <vt:lpstr>⚖️ Risk Scorecard</vt:lpstr>
      <vt:lpstr>📈 Scored Results</vt:lpstr>
      <vt:lpstr>🔄 pKYC Schedule</vt:lpstr>
      <vt:lpstr>📉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Vishal Singh Thakur</cp:lastModifiedBy>
  <cp:revision>2</cp:revision>
  <dcterms:created xsi:type="dcterms:W3CDTF">2026-03-28T22:36:25Z</dcterms:created>
  <dcterms:modified xsi:type="dcterms:W3CDTF">2026-03-30T01:57:47Z</dcterms:modified>
  <dc:language>en-US</dc:language>
</cp:coreProperties>
</file>